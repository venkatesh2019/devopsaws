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0490" windowHeight="7755" firstSheet="4" activeTab="4"/>
  </bookViews>
  <sheets>
    <sheet name="Teams" sheetId="19" state="hidden" r:id="rId1"/>
    <sheet name="Sub-Teams" sheetId="18" state="hidden" r:id="rId2"/>
    <sheet name="Metrics" sheetId="15" state="hidden" r:id="rId3"/>
    <sheet name="Input" sheetId="7" state="hidden" r:id="rId4"/>
    <sheet name="Performance Metrics" sheetId="16" r:id="rId5"/>
    <sheet name="List" sheetId="9" state="hidden" r:id="rId6"/>
    <sheet name="Ex-Dashboard" sheetId="8" state="hidden" r:id="rId7"/>
    <sheet name="AS_Dashboard" sheetId="12" state="hidden" r:id="rId8"/>
    <sheet name="CS_Dashboard" sheetId="13" state="hidden" r:id="rId9"/>
    <sheet name="ES_Dashboard" sheetId="14" state="hidden" r:id="rId10"/>
  </sheets>
  <definedNames>
    <definedName name="query" localSheetId="2" hidden="1">Metrics!$A$1:$C$25</definedName>
    <definedName name="query" localSheetId="4" hidden="1">'Performance Metrics'!$A$1:$H$766</definedName>
    <definedName name="query" localSheetId="1" hidden="1">'Sub-Teams'!$A$1:$B$8</definedName>
    <definedName name="query" localSheetId="0" hidden="1">Teams!$A$1:$A$5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35" i="16" l="1"/>
  <c r="E634" i="16"/>
  <c r="E633" i="16"/>
  <c r="E632" i="16"/>
  <c r="F13" i="16"/>
  <c r="F12" i="16"/>
  <c r="F4" i="16"/>
  <c r="F35" i="16" l="1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F87" i="16"/>
  <c r="F88" i="16"/>
  <c r="F89" i="16"/>
  <c r="F90" i="16"/>
  <c r="F91" i="16"/>
  <c r="F92" i="16"/>
  <c r="F93" i="16"/>
  <c r="F94" i="16"/>
  <c r="F95" i="16"/>
  <c r="F96" i="16"/>
  <c r="F97" i="16"/>
  <c r="F98" i="16"/>
  <c r="F99" i="16"/>
  <c r="F100" i="16"/>
  <c r="F101" i="16"/>
  <c r="F102" i="16"/>
  <c r="F103" i="16"/>
  <c r="F104" i="16"/>
  <c r="F105" i="16"/>
  <c r="F106" i="16"/>
  <c r="F107" i="16"/>
  <c r="F108" i="16"/>
  <c r="F109" i="16"/>
  <c r="F110" i="16"/>
  <c r="F111" i="16"/>
  <c r="F112" i="16"/>
  <c r="F113" i="16"/>
  <c r="F114" i="16"/>
  <c r="F115" i="16"/>
  <c r="F116" i="16"/>
  <c r="F117" i="16"/>
  <c r="F118" i="16"/>
  <c r="F119" i="16"/>
  <c r="F120" i="16"/>
  <c r="F121" i="16"/>
  <c r="F122" i="16"/>
  <c r="F123" i="16"/>
  <c r="F124" i="16"/>
  <c r="F125" i="16"/>
  <c r="F126" i="16"/>
  <c r="F127" i="16"/>
  <c r="F128" i="16"/>
  <c r="F129" i="16"/>
  <c r="F130" i="16"/>
  <c r="F131" i="16"/>
  <c r="F132" i="16"/>
  <c r="F133" i="16"/>
  <c r="F134" i="16"/>
  <c r="F135" i="16"/>
  <c r="F136" i="16"/>
  <c r="F137" i="16"/>
  <c r="F138" i="16"/>
  <c r="F139" i="16"/>
  <c r="F140" i="16"/>
  <c r="F141" i="16"/>
  <c r="F142" i="16"/>
  <c r="F143" i="16"/>
  <c r="F144" i="16"/>
  <c r="F145" i="16"/>
  <c r="F146" i="16"/>
  <c r="F147" i="16"/>
  <c r="F148" i="16"/>
  <c r="F149" i="16"/>
  <c r="F150" i="16"/>
  <c r="F151" i="16"/>
  <c r="F152" i="16"/>
  <c r="F153" i="16"/>
  <c r="F154" i="16"/>
  <c r="F155" i="16"/>
  <c r="F156" i="16"/>
  <c r="F157" i="16"/>
  <c r="F158" i="16"/>
  <c r="F159" i="16"/>
  <c r="F160" i="16"/>
  <c r="F161" i="16"/>
  <c r="F162" i="16"/>
  <c r="F163" i="16"/>
  <c r="F164" i="16"/>
  <c r="F165" i="16"/>
  <c r="F166" i="16"/>
  <c r="F167" i="16"/>
  <c r="F168" i="16"/>
  <c r="F169" i="16"/>
  <c r="F170" i="16"/>
  <c r="F171" i="16"/>
  <c r="F172" i="16"/>
  <c r="F173" i="16"/>
  <c r="F174" i="16"/>
  <c r="F175" i="16"/>
  <c r="F176" i="16"/>
  <c r="F177" i="16"/>
  <c r="F178" i="16"/>
  <c r="F179" i="16"/>
  <c r="F180" i="16"/>
  <c r="F181" i="16"/>
  <c r="F182" i="16"/>
  <c r="F183" i="16"/>
  <c r="F184" i="16"/>
  <c r="F185" i="16"/>
  <c r="F186" i="16"/>
  <c r="F187" i="16"/>
  <c r="F188" i="16"/>
  <c r="F189" i="16"/>
  <c r="F190" i="16"/>
  <c r="F191" i="16"/>
  <c r="F192" i="16"/>
  <c r="F193" i="16"/>
  <c r="F194" i="16"/>
  <c r="F195" i="16"/>
  <c r="F196" i="16"/>
  <c r="F197" i="16"/>
  <c r="F198" i="16"/>
  <c r="F199" i="16"/>
  <c r="F200" i="16"/>
  <c r="F201" i="16"/>
  <c r="F202" i="16"/>
  <c r="F203" i="16"/>
  <c r="F204" i="16"/>
  <c r="F205" i="16"/>
  <c r="F206" i="16"/>
  <c r="F207" i="16"/>
  <c r="F208" i="16"/>
  <c r="F209" i="16"/>
  <c r="F210" i="16"/>
  <c r="F211" i="16"/>
  <c r="F212" i="16"/>
  <c r="F213" i="16"/>
  <c r="F214" i="16"/>
  <c r="F215" i="16"/>
  <c r="F216" i="16"/>
  <c r="F217" i="16"/>
  <c r="F218" i="16"/>
  <c r="F219" i="16"/>
  <c r="F220" i="16"/>
  <c r="F221" i="16"/>
  <c r="F222" i="16"/>
  <c r="F223" i="16"/>
  <c r="F224" i="16"/>
  <c r="F225" i="16"/>
  <c r="F226" i="16"/>
  <c r="F227" i="16"/>
  <c r="F228" i="16"/>
  <c r="F229" i="16"/>
  <c r="F230" i="16"/>
  <c r="F231" i="16"/>
  <c r="F232" i="16"/>
  <c r="F233" i="16"/>
  <c r="F234" i="16"/>
  <c r="F235" i="16"/>
  <c r="F236" i="16"/>
  <c r="F237" i="16"/>
  <c r="F238" i="16"/>
  <c r="F239" i="16"/>
  <c r="F240" i="16"/>
  <c r="F241" i="16"/>
  <c r="F242" i="16"/>
  <c r="F243" i="16"/>
  <c r="F244" i="16"/>
  <c r="F245" i="16"/>
  <c r="F246" i="16"/>
  <c r="F247" i="16"/>
  <c r="F248" i="16"/>
  <c r="F249" i="16"/>
  <c r="F250" i="16"/>
  <c r="F251" i="16"/>
  <c r="F252" i="16"/>
  <c r="F253" i="16"/>
  <c r="F254" i="16"/>
  <c r="F255" i="16"/>
  <c r="F256" i="16"/>
  <c r="F257" i="16"/>
  <c r="F258" i="16"/>
  <c r="F259" i="16"/>
  <c r="F260" i="16"/>
  <c r="F261" i="16"/>
  <c r="F262" i="16"/>
  <c r="F263" i="16"/>
  <c r="F264" i="16"/>
  <c r="F265" i="16"/>
  <c r="F266" i="16"/>
  <c r="F267" i="16"/>
  <c r="F268" i="16"/>
  <c r="F269" i="16"/>
  <c r="F270" i="16"/>
  <c r="F271" i="16"/>
  <c r="F272" i="16"/>
  <c r="F273" i="16"/>
  <c r="F274" i="16"/>
  <c r="F275" i="16"/>
  <c r="F276" i="16"/>
  <c r="F277" i="16"/>
  <c r="F278" i="16"/>
  <c r="F279" i="16"/>
  <c r="F280" i="16"/>
  <c r="F281" i="16"/>
  <c r="F282" i="16"/>
  <c r="F283" i="16"/>
  <c r="F284" i="16"/>
  <c r="F285" i="16"/>
  <c r="F286" i="16"/>
  <c r="F287" i="16"/>
  <c r="F288" i="16"/>
  <c r="F289" i="16"/>
  <c r="F290" i="16"/>
  <c r="F291" i="16"/>
  <c r="F292" i="16"/>
  <c r="F293" i="16"/>
  <c r="F294" i="16"/>
  <c r="F295" i="16"/>
  <c r="F296" i="16"/>
  <c r="F297" i="16"/>
  <c r="F298" i="16"/>
  <c r="F299" i="16"/>
  <c r="F300" i="16"/>
  <c r="F301" i="16"/>
  <c r="F302" i="16"/>
  <c r="F303" i="16"/>
  <c r="F304" i="16"/>
  <c r="F305" i="16"/>
  <c r="F306" i="16"/>
  <c r="F307" i="16"/>
  <c r="F308" i="16"/>
  <c r="F309" i="16"/>
  <c r="F310" i="16"/>
  <c r="F311" i="16"/>
  <c r="F312" i="16"/>
  <c r="F313" i="16"/>
  <c r="F314" i="16"/>
  <c r="F315" i="16"/>
  <c r="F316" i="16"/>
  <c r="F317" i="16"/>
  <c r="F318" i="16"/>
  <c r="F319" i="16"/>
  <c r="F320" i="16"/>
  <c r="F321" i="16"/>
  <c r="F322" i="16"/>
  <c r="F323" i="16"/>
  <c r="F324" i="16"/>
  <c r="F325" i="16"/>
  <c r="F326" i="16"/>
  <c r="F327" i="16"/>
  <c r="F328" i="16"/>
  <c r="F329" i="16"/>
  <c r="F330" i="16"/>
  <c r="F331" i="16"/>
  <c r="F332" i="16"/>
  <c r="F333" i="16"/>
  <c r="F334" i="16"/>
  <c r="F335" i="16"/>
  <c r="F336" i="16"/>
  <c r="F337" i="16"/>
  <c r="F338" i="16"/>
  <c r="F339" i="16"/>
  <c r="F340" i="16"/>
  <c r="F341" i="16"/>
  <c r="F342" i="16"/>
  <c r="F343" i="16"/>
  <c r="F344" i="16"/>
  <c r="F345" i="16"/>
  <c r="F346" i="16"/>
  <c r="F347" i="16"/>
  <c r="F348" i="16"/>
  <c r="F349" i="16"/>
  <c r="F350" i="16"/>
  <c r="F351" i="16"/>
  <c r="F352" i="16"/>
  <c r="F353" i="16"/>
  <c r="F354" i="16"/>
  <c r="F355" i="16"/>
  <c r="F356" i="16"/>
  <c r="F357" i="16"/>
  <c r="F358" i="16"/>
  <c r="F359" i="16"/>
  <c r="F360" i="16"/>
  <c r="F361" i="16"/>
  <c r="F362" i="16"/>
  <c r="F363" i="16"/>
  <c r="F364" i="16"/>
  <c r="F365" i="16"/>
  <c r="F366" i="16"/>
  <c r="F367" i="16"/>
  <c r="F368" i="16"/>
  <c r="F369" i="16"/>
  <c r="F370" i="16"/>
  <c r="F371" i="16"/>
  <c r="F372" i="16"/>
  <c r="F373" i="16"/>
  <c r="F374" i="16"/>
  <c r="F375" i="16"/>
  <c r="F376" i="16"/>
  <c r="F377" i="16"/>
  <c r="F378" i="16"/>
  <c r="F379" i="16"/>
  <c r="F380" i="16"/>
  <c r="F381" i="16"/>
  <c r="F382" i="16"/>
  <c r="F383" i="16"/>
  <c r="F384" i="16"/>
  <c r="F385" i="16"/>
  <c r="F386" i="16"/>
  <c r="F387" i="16"/>
  <c r="F388" i="16"/>
  <c r="F389" i="16"/>
  <c r="F390" i="16"/>
  <c r="F391" i="16"/>
  <c r="F392" i="16"/>
  <c r="F393" i="16"/>
  <c r="F394" i="16"/>
  <c r="F395" i="16"/>
  <c r="F396" i="16"/>
  <c r="F397" i="16"/>
  <c r="F398" i="16"/>
  <c r="F399" i="16"/>
  <c r="F400" i="16"/>
  <c r="F401" i="16"/>
  <c r="F402" i="16"/>
  <c r="F403" i="16"/>
  <c r="F404" i="16"/>
  <c r="F405" i="16"/>
  <c r="F406" i="16"/>
  <c r="F407" i="16"/>
  <c r="F408" i="16"/>
  <c r="F409" i="16"/>
  <c r="F410" i="16"/>
  <c r="F411" i="16"/>
  <c r="F412" i="16"/>
  <c r="F413" i="16"/>
  <c r="F414" i="16"/>
  <c r="F415" i="16"/>
  <c r="F416" i="16"/>
  <c r="F417" i="16"/>
  <c r="F418" i="16"/>
  <c r="F419" i="16"/>
  <c r="F420" i="16"/>
  <c r="F421" i="16"/>
  <c r="F422" i="16"/>
  <c r="F423" i="16"/>
  <c r="F424" i="16"/>
  <c r="F425" i="16"/>
  <c r="F426" i="16"/>
  <c r="F427" i="16"/>
  <c r="F428" i="16"/>
  <c r="F429" i="16"/>
  <c r="F430" i="16"/>
  <c r="F431" i="16"/>
  <c r="F432" i="16"/>
  <c r="F433" i="16"/>
  <c r="F434" i="16"/>
  <c r="F435" i="16"/>
  <c r="F436" i="16"/>
  <c r="F437" i="16"/>
  <c r="F438" i="16"/>
  <c r="F439" i="16"/>
  <c r="F440" i="16"/>
  <c r="F441" i="16"/>
  <c r="F442" i="16"/>
  <c r="F443" i="16"/>
  <c r="F444" i="16"/>
  <c r="F445" i="16"/>
  <c r="F446" i="16"/>
  <c r="F447" i="16"/>
  <c r="F448" i="16"/>
  <c r="F449" i="16"/>
  <c r="F450" i="16"/>
  <c r="F451" i="16"/>
  <c r="F452" i="16"/>
  <c r="F453" i="16"/>
  <c r="F454" i="16"/>
  <c r="F455" i="16"/>
  <c r="F456" i="16"/>
  <c r="F457" i="16"/>
  <c r="F458" i="16"/>
  <c r="F459" i="16"/>
  <c r="F460" i="16"/>
  <c r="F461" i="16"/>
  <c r="F462" i="16"/>
  <c r="F463" i="16"/>
  <c r="F464" i="16"/>
  <c r="F465" i="16"/>
  <c r="F466" i="16"/>
  <c r="F467" i="16"/>
  <c r="F468" i="16"/>
  <c r="F469" i="16"/>
  <c r="F470" i="16"/>
  <c r="F471" i="16"/>
  <c r="F472" i="16"/>
  <c r="F473" i="16"/>
  <c r="F474" i="16"/>
  <c r="F475" i="16"/>
  <c r="F476" i="16"/>
  <c r="F477" i="16"/>
  <c r="F478" i="16"/>
  <c r="F479" i="16"/>
  <c r="F480" i="16"/>
  <c r="F481" i="16"/>
  <c r="F482" i="16"/>
  <c r="F483" i="16"/>
  <c r="F484" i="16"/>
  <c r="F485" i="16"/>
  <c r="F486" i="16"/>
  <c r="F487" i="16"/>
  <c r="F488" i="16"/>
  <c r="F489" i="16"/>
  <c r="F490" i="16"/>
  <c r="F491" i="16"/>
  <c r="F492" i="16"/>
  <c r="F493" i="16"/>
  <c r="F494" i="16"/>
  <c r="F495" i="16"/>
  <c r="F496" i="16"/>
  <c r="F497" i="16"/>
  <c r="F498" i="16"/>
  <c r="F499" i="16"/>
  <c r="F500" i="16"/>
  <c r="F501" i="16"/>
  <c r="F502" i="16"/>
  <c r="F503" i="16"/>
  <c r="F504" i="16"/>
  <c r="F505" i="16"/>
  <c r="F506" i="16"/>
  <c r="F507" i="16"/>
  <c r="F508" i="16"/>
  <c r="F509" i="16"/>
  <c r="F510" i="16"/>
  <c r="F511" i="16"/>
  <c r="F512" i="16"/>
  <c r="F513" i="16"/>
  <c r="F514" i="16"/>
  <c r="F515" i="16"/>
  <c r="F516" i="16"/>
  <c r="F517" i="16"/>
  <c r="F518" i="16"/>
  <c r="F519" i="16"/>
  <c r="F520" i="16"/>
  <c r="F521" i="16"/>
  <c r="F522" i="16"/>
  <c r="F523" i="16"/>
  <c r="F524" i="16"/>
  <c r="F525" i="16"/>
  <c r="F526" i="16"/>
  <c r="F527" i="16"/>
  <c r="F528" i="16"/>
  <c r="F529" i="16"/>
  <c r="F530" i="16"/>
  <c r="F531" i="16"/>
  <c r="F532" i="16"/>
  <c r="F533" i="16"/>
  <c r="F534" i="16"/>
  <c r="F535" i="16"/>
  <c r="F536" i="16"/>
  <c r="F537" i="16"/>
  <c r="F538" i="16"/>
  <c r="F539" i="16"/>
  <c r="F540" i="16"/>
  <c r="F541" i="16"/>
  <c r="F542" i="16"/>
  <c r="F543" i="16"/>
  <c r="F544" i="16"/>
  <c r="F545" i="16"/>
  <c r="F546" i="16"/>
  <c r="F547" i="16"/>
  <c r="F548" i="16"/>
  <c r="F549" i="16"/>
  <c r="F550" i="16"/>
  <c r="F551" i="16"/>
  <c r="F552" i="16"/>
  <c r="F553" i="16"/>
  <c r="F554" i="16"/>
  <c r="F555" i="16"/>
  <c r="F556" i="16"/>
  <c r="F557" i="16"/>
  <c r="F558" i="16"/>
  <c r="F559" i="16"/>
  <c r="F560" i="16"/>
  <c r="F561" i="16"/>
  <c r="F562" i="16"/>
  <c r="F563" i="16"/>
  <c r="F564" i="16"/>
  <c r="F565" i="16"/>
  <c r="F566" i="16"/>
  <c r="F567" i="16"/>
  <c r="F568" i="16"/>
  <c r="F569" i="16"/>
  <c r="F570" i="16"/>
  <c r="F571" i="16"/>
  <c r="F572" i="16"/>
  <c r="F573" i="16"/>
  <c r="F574" i="16"/>
  <c r="F575" i="16"/>
  <c r="F576" i="16"/>
  <c r="F577" i="16"/>
  <c r="F578" i="16"/>
  <c r="F579" i="16"/>
  <c r="F580" i="16"/>
  <c r="F581" i="16"/>
  <c r="F582" i="16"/>
  <c r="F583" i="16"/>
  <c r="F584" i="16"/>
  <c r="F585" i="16"/>
  <c r="F586" i="16"/>
  <c r="F587" i="16"/>
  <c r="F588" i="16"/>
  <c r="F589" i="16"/>
  <c r="F590" i="16"/>
  <c r="F591" i="16"/>
  <c r="F592" i="16"/>
  <c r="F593" i="16"/>
  <c r="F594" i="16"/>
  <c r="F595" i="16"/>
  <c r="F596" i="16"/>
  <c r="F597" i="16"/>
  <c r="F598" i="16"/>
  <c r="F599" i="16"/>
  <c r="F600" i="16"/>
  <c r="F601" i="16"/>
  <c r="F602" i="16"/>
  <c r="F603" i="16"/>
  <c r="F604" i="16"/>
  <c r="F60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E124" i="16"/>
  <c r="E125" i="16"/>
  <c r="E126" i="16"/>
  <c r="E127" i="16"/>
  <c r="E128" i="16"/>
  <c r="E129" i="16"/>
  <c r="E130" i="16"/>
  <c r="E131" i="16"/>
  <c r="E132" i="16"/>
  <c r="E133" i="16"/>
  <c r="E134" i="16"/>
  <c r="E135" i="16"/>
  <c r="E136" i="16"/>
  <c r="E137" i="16"/>
  <c r="E138" i="16"/>
  <c r="E139" i="16"/>
  <c r="E140" i="16"/>
  <c r="E141" i="16"/>
  <c r="E142" i="16"/>
  <c r="E143" i="16"/>
  <c r="E144" i="16"/>
  <c r="E145" i="16"/>
  <c r="E146" i="16"/>
  <c r="E147" i="16"/>
  <c r="E148" i="16"/>
  <c r="E149" i="16"/>
  <c r="E150" i="16"/>
  <c r="E151" i="16"/>
  <c r="E152" i="16"/>
  <c r="E153" i="16"/>
  <c r="E154" i="16"/>
  <c r="E155" i="16"/>
  <c r="E156" i="16"/>
  <c r="E157" i="16"/>
  <c r="E158" i="16"/>
  <c r="E159" i="16"/>
  <c r="E160" i="16"/>
  <c r="E161" i="16"/>
  <c r="E162" i="16"/>
  <c r="E163" i="16"/>
  <c r="E164" i="16"/>
  <c r="E165" i="16"/>
  <c r="E166" i="16"/>
  <c r="E167" i="16"/>
  <c r="E168" i="16"/>
  <c r="E169" i="16"/>
  <c r="E170" i="16"/>
  <c r="E171" i="16"/>
  <c r="E172" i="16"/>
  <c r="E173" i="16"/>
  <c r="E174" i="16"/>
  <c r="E175" i="16"/>
  <c r="E176" i="16"/>
  <c r="E177" i="16"/>
  <c r="E178" i="16"/>
  <c r="E179" i="16"/>
  <c r="E180" i="16"/>
  <c r="E181" i="16"/>
  <c r="E182" i="16"/>
  <c r="E183" i="16"/>
  <c r="E184" i="16"/>
  <c r="E185" i="16"/>
  <c r="E186" i="16"/>
  <c r="E187" i="16"/>
  <c r="E188" i="16"/>
  <c r="E189" i="16"/>
  <c r="E190" i="16"/>
  <c r="E191" i="16"/>
  <c r="E192" i="16"/>
  <c r="E193" i="16"/>
  <c r="E194" i="16"/>
  <c r="E195" i="16"/>
  <c r="E196" i="16"/>
  <c r="E197" i="16"/>
  <c r="E198" i="16"/>
  <c r="E199" i="16"/>
  <c r="E200" i="16"/>
  <c r="E201" i="16"/>
  <c r="E202" i="16"/>
  <c r="E203" i="16"/>
  <c r="E204" i="16"/>
  <c r="E205" i="16"/>
  <c r="E206" i="16"/>
  <c r="E207" i="16"/>
  <c r="E208" i="16"/>
  <c r="E209" i="16"/>
  <c r="E210" i="16"/>
  <c r="E211" i="16"/>
  <c r="E212" i="16"/>
  <c r="E213" i="16"/>
  <c r="E214" i="16"/>
  <c r="E215" i="16"/>
  <c r="E216" i="16"/>
  <c r="E217" i="16"/>
  <c r="E218" i="16"/>
  <c r="E219" i="16"/>
  <c r="E220" i="16"/>
  <c r="E221" i="16"/>
  <c r="E222" i="16"/>
  <c r="E223" i="16"/>
  <c r="E224" i="16"/>
  <c r="E225" i="16"/>
  <c r="E226" i="16"/>
  <c r="E227" i="16"/>
  <c r="E228" i="16"/>
  <c r="E229" i="16"/>
  <c r="E230" i="16"/>
  <c r="E231" i="16"/>
  <c r="E232" i="16"/>
  <c r="E233" i="16"/>
  <c r="E234" i="16"/>
  <c r="E235" i="16"/>
  <c r="E236" i="16"/>
  <c r="E237" i="16"/>
  <c r="E238" i="16"/>
  <c r="E239" i="16"/>
  <c r="E240" i="16"/>
  <c r="E241" i="16"/>
  <c r="E242" i="16"/>
  <c r="E243" i="16"/>
  <c r="E244" i="16"/>
  <c r="E245" i="16"/>
  <c r="E246" i="16"/>
  <c r="E247" i="16"/>
  <c r="E248" i="16"/>
  <c r="E249" i="16"/>
  <c r="E250" i="16"/>
  <c r="E251" i="16"/>
  <c r="E252" i="16"/>
  <c r="E253" i="16"/>
  <c r="E254" i="16"/>
  <c r="E255" i="16"/>
  <c r="E256" i="16"/>
  <c r="E257" i="16"/>
  <c r="E258" i="16"/>
  <c r="E259" i="16"/>
  <c r="E260" i="16"/>
  <c r="E261" i="16"/>
  <c r="E262" i="16"/>
  <c r="E263" i="16"/>
  <c r="E264" i="16"/>
  <c r="E265" i="16"/>
  <c r="E266" i="16"/>
  <c r="E267" i="16"/>
  <c r="E268" i="16"/>
  <c r="E269" i="16"/>
  <c r="E270" i="16"/>
  <c r="E271" i="16"/>
  <c r="E272" i="16"/>
  <c r="E273" i="16"/>
  <c r="E274" i="16"/>
  <c r="E275" i="16"/>
  <c r="E276" i="16"/>
  <c r="E277" i="16"/>
  <c r="E278" i="16"/>
  <c r="E279" i="16"/>
  <c r="E280" i="16"/>
  <c r="E281" i="16"/>
  <c r="E282" i="16"/>
  <c r="E283" i="16"/>
  <c r="E284" i="16"/>
  <c r="E285" i="16"/>
  <c r="E286" i="16"/>
  <c r="E287" i="16"/>
  <c r="E288" i="16"/>
  <c r="E289" i="16"/>
  <c r="E290" i="16"/>
  <c r="E291" i="16"/>
  <c r="E292" i="16"/>
  <c r="E293" i="16"/>
  <c r="E294" i="16"/>
  <c r="E295" i="16"/>
  <c r="E296" i="16"/>
  <c r="E297" i="16"/>
  <c r="E298" i="16"/>
  <c r="E299" i="16"/>
  <c r="E300" i="16"/>
  <c r="E301" i="16"/>
  <c r="E302" i="16"/>
  <c r="E303" i="16"/>
  <c r="E304" i="16"/>
  <c r="E305" i="16"/>
  <c r="E306" i="16"/>
  <c r="E307" i="16"/>
  <c r="E308" i="16"/>
  <c r="E309" i="16"/>
  <c r="E310" i="16"/>
  <c r="E311" i="16"/>
  <c r="E312" i="16"/>
  <c r="E313" i="16"/>
  <c r="E314" i="16"/>
  <c r="E315" i="16"/>
  <c r="E316" i="16"/>
  <c r="E317" i="16"/>
  <c r="E318" i="16"/>
  <c r="E319" i="16"/>
  <c r="E320" i="16"/>
  <c r="E321" i="16"/>
  <c r="E322" i="16"/>
  <c r="E323" i="16"/>
  <c r="E324" i="16"/>
  <c r="E325" i="16"/>
  <c r="E326" i="16"/>
  <c r="E327" i="16"/>
  <c r="E328" i="16"/>
  <c r="E329" i="16"/>
  <c r="E330" i="16"/>
  <c r="E331" i="16"/>
  <c r="E332" i="16"/>
  <c r="E333" i="16"/>
  <c r="E334" i="16"/>
  <c r="E335" i="16"/>
  <c r="E336" i="16"/>
  <c r="E337" i="16"/>
  <c r="E338" i="16"/>
  <c r="E339" i="16"/>
  <c r="E340" i="16"/>
  <c r="E341" i="16"/>
  <c r="E342" i="16"/>
  <c r="E343" i="16"/>
  <c r="E344" i="16"/>
  <c r="E345" i="16"/>
  <c r="E346" i="16"/>
  <c r="E347" i="16"/>
  <c r="E348" i="16"/>
  <c r="E349" i="16"/>
  <c r="E350" i="16"/>
  <c r="E351" i="16"/>
  <c r="E352" i="16"/>
  <c r="E353" i="16"/>
  <c r="E354" i="16"/>
  <c r="E355" i="16"/>
  <c r="E356" i="16"/>
  <c r="E357" i="16"/>
  <c r="E358" i="16"/>
  <c r="E359" i="16"/>
  <c r="E360" i="16"/>
  <c r="E361" i="16"/>
  <c r="E362" i="16"/>
  <c r="E363" i="16"/>
  <c r="E364" i="16"/>
  <c r="E365" i="16"/>
  <c r="E366" i="16"/>
  <c r="E367" i="16"/>
  <c r="E368" i="16"/>
  <c r="E369" i="16"/>
  <c r="E370" i="16"/>
  <c r="E371" i="16"/>
  <c r="E372" i="16"/>
  <c r="E373" i="16"/>
  <c r="E374" i="16"/>
  <c r="E375" i="16"/>
  <c r="E376" i="16"/>
  <c r="E377" i="16"/>
  <c r="E378" i="16"/>
  <c r="E379" i="16"/>
  <c r="E380" i="16"/>
  <c r="E381" i="16"/>
  <c r="E382" i="16"/>
  <c r="E383" i="16"/>
  <c r="E384" i="16"/>
  <c r="E385" i="16"/>
  <c r="E386" i="16"/>
  <c r="E387" i="16"/>
  <c r="E388" i="16"/>
  <c r="E389" i="16"/>
  <c r="E390" i="16"/>
  <c r="E391" i="16"/>
  <c r="E392" i="16"/>
  <c r="E393" i="16"/>
  <c r="E394" i="16"/>
  <c r="E395" i="16"/>
  <c r="E396" i="16"/>
  <c r="E397" i="16"/>
  <c r="E398" i="16"/>
  <c r="E399" i="16"/>
  <c r="E400" i="16"/>
  <c r="E401" i="16"/>
  <c r="E402" i="16"/>
  <c r="E403" i="16"/>
  <c r="E404" i="16"/>
  <c r="E405" i="16"/>
  <c r="E406" i="16"/>
  <c r="E407" i="16"/>
  <c r="E408" i="16"/>
  <c r="E409" i="16"/>
  <c r="E410" i="16"/>
  <c r="E411" i="16"/>
  <c r="E412" i="16"/>
  <c r="E413" i="16"/>
  <c r="E414" i="16"/>
  <c r="E415" i="16"/>
  <c r="E416" i="16"/>
  <c r="E417" i="16"/>
  <c r="E418" i="16"/>
  <c r="E419" i="16"/>
  <c r="E420" i="16"/>
  <c r="E421" i="16"/>
  <c r="E422" i="16"/>
  <c r="E423" i="16"/>
  <c r="E424" i="16"/>
  <c r="E425" i="16"/>
  <c r="E426" i="16"/>
  <c r="E427" i="16"/>
  <c r="E428" i="16"/>
  <c r="E429" i="16"/>
  <c r="E430" i="16"/>
  <c r="E431" i="16"/>
  <c r="E432" i="16"/>
  <c r="E433" i="16"/>
  <c r="E434" i="16"/>
  <c r="E435" i="16"/>
  <c r="E436" i="16"/>
  <c r="E437" i="16"/>
  <c r="E438" i="16"/>
  <c r="E439" i="16"/>
  <c r="E440" i="16"/>
  <c r="E441" i="16"/>
  <c r="E442" i="16"/>
  <c r="E443" i="16"/>
  <c r="E444" i="16"/>
  <c r="E445" i="16"/>
  <c r="E446" i="16"/>
  <c r="E447" i="16"/>
  <c r="E448" i="16"/>
  <c r="E449" i="16"/>
  <c r="E450" i="16"/>
  <c r="E451" i="16"/>
  <c r="E452" i="16"/>
  <c r="E453" i="16"/>
  <c r="E454" i="16"/>
  <c r="E455" i="16"/>
  <c r="E456" i="16"/>
  <c r="E457" i="16"/>
  <c r="E458" i="16"/>
  <c r="E459" i="16"/>
  <c r="E460" i="16"/>
  <c r="E461" i="16"/>
  <c r="E462" i="16"/>
  <c r="E463" i="16"/>
  <c r="E464" i="16"/>
  <c r="E465" i="16"/>
  <c r="E466" i="16"/>
  <c r="E467" i="16"/>
  <c r="E468" i="16"/>
  <c r="E469" i="16"/>
  <c r="E470" i="16"/>
  <c r="E471" i="16"/>
  <c r="E472" i="16"/>
  <c r="E473" i="16"/>
  <c r="E474" i="16"/>
  <c r="E475" i="16"/>
  <c r="E476" i="16"/>
  <c r="E477" i="16"/>
  <c r="E478" i="16"/>
  <c r="E479" i="16"/>
  <c r="E480" i="16"/>
  <c r="E481" i="16"/>
  <c r="E482" i="16"/>
  <c r="E483" i="16"/>
  <c r="E484" i="16"/>
  <c r="E485" i="16"/>
  <c r="E486" i="16"/>
  <c r="E487" i="16"/>
  <c r="E488" i="16"/>
  <c r="E489" i="16"/>
  <c r="E490" i="16"/>
  <c r="E491" i="16"/>
  <c r="E492" i="16"/>
  <c r="E493" i="16"/>
  <c r="E494" i="16"/>
  <c r="E495" i="16"/>
  <c r="E496" i="16"/>
  <c r="E497" i="16"/>
  <c r="E498" i="16"/>
  <c r="E499" i="16"/>
  <c r="E500" i="16"/>
  <c r="E501" i="16"/>
  <c r="E502" i="16"/>
  <c r="E503" i="16"/>
  <c r="E504" i="16"/>
  <c r="E505" i="16"/>
  <c r="E506" i="16"/>
  <c r="E507" i="16"/>
  <c r="E508" i="16"/>
  <c r="E509" i="16"/>
  <c r="E510" i="16"/>
  <c r="E511" i="16"/>
  <c r="E512" i="16"/>
  <c r="E513" i="16"/>
  <c r="E514" i="16"/>
  <c r="E515" i="16"/>
  <c r="E516" i="16"/>
  <c r="E517" i="16"/>
  <c r="E518" i="16"/>
  <c r="E519" i="16"/>
  <c r="E520" i="16"/>
  <c r="E521" i="16"/>
  <c r="E522" i="16"/>
  <c r="E523" i="16"/>
  <c r="E524" i="16"/>
  <c r="E525" i="16"/>
  <c r="E526" i="16"/>
  <c r="E527" i="16"/>
  <c r="E528" i="16"/>
  <c r="E529" i="16"/>
  <c r="E530" i="16"/>
  <c r="E531" i="16"/>
  <c r="E532" i="16"/>
  <c r="E533" i="16"/>
  <c r="E534" i="16"/>
  <c r="E535" i="16"/>
  <c r="E536" i="16"/>
  <c r="E537" i="16"/>
  <c r="E538" i="16"/>
  <c r="E539" i="16"/>
  <c r="E540" i="16"/>
  <c r="E541" i="16"/>
  <c r="E542" i="16"/>
  <c r="E543" i="16"/>
  <c r="E544" i="16"/>
  <c r="E545" i="16"/>
  <c r="E546" i="16"/>
  <c r="E547" i="16"/>
  <c r="E548" i="16"/>
  <c r="E549" i="16"/>
  <c r="E550" i="16"/>
  <c r="E551" i="16"/>
  <c r="E552" i="16"/>
  <c r="E553" i="16"/>
  <c r="E554" i="16"/>
  <c r="E555" i="16"/>
  <c r="E556" i="16"/>
  <c r="E557" i="16"/>
  <c r="E558" i="16"/>
  <c r="E559" i="16"/>
  <c r="E560" i="16"/>
  <c r="E561" i="16"/>
  <c r="E562" i="16"/>
  <c r="E563" i="16"/>
  <c r="E564" i="16"/>
  <c r="E565" i="16"/>
  <c r="E566" i="16"/>
  <c r="E567" i="16"/>
  <c r="E568" i="16"/>
  <c r="E569" i="16"/>
  <c r="E570" i="16"/>
  <c r="E571" i="16"/>
  <c r="E572" i="16"/>
  <c r="E573" i="16"/>
  <c r="E574" i="16"/>
  <c r="E575" i="16"/>
  <c r="E576" i="16"/>
  <c r="E577" i="16"/>
  <c r="E578" i="16"/>
  <c r="E579" i="16"/>
  <c r="E580" i="16"/>
  <c r="E581" i="16"/>
  <c r="E582" i="16"/>
  <c r="E583" i="16"/>
  <c r="E584" i="16"/>
  <c r="E585" i="16"/>
  <c r="E586" i="16"/>
  <c r="E587" i="16"/>
  <c r="E588" i="16"/>
  <c r="E589" i="16"/>
  <c r="E590" i="16"/>
  <c r="E591" i="16"/>
  <c r="E592" i="16"/>
  <c r="E593" i="16"/>
  <c r="E594" i="16"/>
  <c r="E595" i="16"/>
  <c r="E596" i="16"/>
  <c r="E597" i="16"/>
  <c r="E598" i="16"/>
  <c r="E599" i="16"/>
  <c r="E600" i="16"/>
  <c r="E601" i="16"/>
  <c r="E602" i="16"/>
  <c r="E603" i="16"/>
  <c r="E604" i="16"/>
  <c r="E605" i="16"/>
  <c r="E35" i="16"/>
  <c r="F3" i="16"/>
  <c r="F5" i="16"/>
  <c r="F6" i="16"/>
  <c r="F7" i="16"/>
  <c r="F8" i="16"/>
  <c r="F9" i="16"/>
  <c r="F10" i="16"/>
  <c r="F11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2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2" i="16"/>
  <c r="C10" i="14" l="1"/>
  <c r="C19" i="13"/>
  <c r="C11" i="13"/>
  <c r="C18" i="13"/>
  <c r="C12" i="13"/>
  <c r="C20" i="13"/>
  <c r="C8" i="13"/>
  <c r="C12" i="12"/>
  <c r="C8" i="12"/>
  <c r="C4" i="12"/>
  <c r="C14" i="12"/>
  <c r="C6" i="12"/>
  <c r="C7" i="13"/>
  <c r="C9" i="12"/>
  <c r="C17" i="13"/>
  <c r="C13" i="13"/>
  <c r="C10" i="13"/>
  <c r="C5" i="13"/>
  <c r="C11" i="12"/>
  <c r="C7" i="12"/>
  <c r="C16" i="13"/>
  <c r="C14" i="13"/>
  <c r="C6" i="13"/>
  <c r="C10" i="12"/>
  <c r="C15" i="13"/>
  <c r="C13" i="12"/>
  <c r="C5" i="12"/>
  <c r="C9" i="13" l="1"/>
  <c r="X11" i="8"/>
  <c r="X10" i="8"/>
  <c r="X9" i="8"/>
  <c r="Z9" i="8" s="1"/>
  <c r="X8" i="8"/>
  <c r="Z8" i="8" s="1"/>
  <c r="X7" i="8"/>
  <c r="Z7" i="8" s="1"/>
  <c r="X6" i="8"/>
  <c r="Z6" i="8" s="1"/>
  <c r="X5" i="8"/>
  <c r="Z5" i="8" s="1"/>
  <c r="X4" i="8"/>
  <c r="E2" i="7"/>
  <c r="D2" i="7"/>
  <c r="Z4" i="8" l="1"/>
</calcChain>
</file>

<file path=xl/connections.xml><?xml version="1.0" encoding="utf-8"?>
<connections xmlns="http://schemas.openxmlformats.org/spreadsheetml/2006/main">
  <connection id="1" keepAlive="1" name="query" type="5" refreshedVersion="6" minRefreshableVersion="3" deleted="1" saveData="1">
    <dbPr connection="" command="" commandType="5"/>
  </connection>
  <connection id="2" keepAlive="1" name="query1" type="5" refreshedVersion="6" minRefreshableVersion="3" deleted="1" saveData="1">
    <dbPr connection="" command="" commandType="5"/>
  </connection>
  <connection id="3" keepAlive="1" name="query2" type="5" refreshedVersion="6" minRefreshableVersion="3" deleted="1" saveData="1">
    <dbPr connection="" command="" commandType="5"/>
  </connection>
  <connection id="4" keepAlive="1" name="query3" type="5" refreshedVersion="6" minRefreshableVersion="3" deleted="1" saveData="1">
    <dbPr connection="" command="" commandType="5"/>
  </connection>
</connections>
</file>

<file path=xl/sharedStrings.xml><?xml version="1.0" encoding="utf-8"?>
<sst xmlns="http://schemas.openxmlformats.org/spreadsheetml/2006/main" count="732" uniqueCount="92">
  <si>
    <t>KPCC Production Support</t>
  </si>
  <si>
    <t>KPHC Application Support</t>
  </si>
  <si>
    <t>KPHC Clarity Support</t>
  </si>
  <si>
    <t>KPHC Environment Support</t>
  </si>
  <si>
    <t>Title</t>
  </si>
  <si>
    <t>Billing</t>
  </si>
  <si>
    <t>Ambulatory</t>
  </si>
  <si>
    <t>Cadence</t>
  </si>
  <si>
    <t>Bridges</t>
  </si>
  <si>
    <t>Revenue Capture</t>
  </si>
  <si>
    <t>CRIS</t>
  </si>
  <si>
    <t>SWAT</t>
  </si>
  <si>
    <t>Parent Team</t>
  </si>
  <si>
    <t>Sub Team</t>
  </si>
  <si>
    <t>Continous Improvements</t>
  </si>
  <si>
    <t>Count</t>
  </si>
  <si>
    <t>Ideas Shared with KP</t>
  </si>
  <si>
    <t>Staffing</t>
  </si>
  <si>
    <t>%</t>
  </si>
  <si>
    <t>Certification</t>
  </si>
  <si>
    <t>Hours</t>
  </si>
  <si>
    <t>Manual Effort Eliminated</t>
  </si>
  <si>
    <t>Incident</t>
  </si>
  <si>
    <t>High</t>
  </si>
  <si>
    <t>Critical</t>
  </si>
  <si>
    <t>Others</t>
  </si>
  <si>
    <t>Access Log Archival</t>
  </si>
  <si>
    <t>Access Log Retrieval</t>
  </si>
  <si>
    <t>Clarity ETL Completion</t>
  </si>
  <si>
    <t>Inprogress Ideas</t>
  </si>
  <si>
    <t>Completed Ideas</t>
  </si>
  <si>
    <t>Compliance</t>
  </si>
  <si>
    <t>Security</t>
  </si>
  <si>
    <t>SOX</t>
  </si>
  <si>
    <t>CRQ</t>
  </si>
  <si>
    <t>Attrition</t>
  </si>
  <si>
    <t>Staffing Tenure</t>
  </si>
  <si>
    <t>Work Orders</t>
  </si>
  <si>
    <t>WO Processing</t>
  </si>
  <si>
    <t>Bridge Time Averted</t>
  </si>
  <si>
    <t>Availability</t>
  </si>
  <si>
    <t>Non-Critical Incident SLA - Resolution</t>
  </si>
  <si>
    <t>Non-Critical Incident SLA - Response</t>
  </si>
  <si>
    <t>Critical/High Incident SLA - Resolution</t>
  </si>
  <si>
    <t>Critical/High Incident SLA - Response</t>
  </si>
  <si>
    <t>Category</t>
  </si>
  <si>
    <t>Unit</t>
  </si>
  <si>
    <t>Date</t>
  </si>
  <si>
    <t>Metrics:Unit</t>
  </si>
  <si>
    <t>Metrics:Category</t>
  </si>
  <si>
    <t>Metrics</t>
  </si>
  <si>
    <t>Team</t>
  </si>
  <si>
    <t>Value</t>
  </si>
  <si>
    <t>Team:</t>
  </si>
  <si>
    <t>Month: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</si>
  <si>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</si>
  <si>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</si>
  <si>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</si>
  <si>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</si>
  <si>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</si>
  <si>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</si>
  <si>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</si>
  <si>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</si>
  <si>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</si>
  <si>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</si>
  <si>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</si>
  <si>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</si>
  <si>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Year:</t>
  </si>
  <si>
    <t>Comments</t>
  </si>
  <si>
    <t>Metric value</t>
  </si>
  <si>
    <t>SOX Compliance</t>
  </si>
  <si>
    <t>Epic</t>
  </si>
  <si>
    <t>Security Compliance</t>
  </si>
  <si>
    <t>CIs</t>
  </si>
  <si>
    <t>Manual Efforts Eliminated</t>
  </si>
  <si>
    <t>Critical / High Incident</t>
  </si>
  <si>
    <t>Response</t>
  </si>
  <si>
    <t>Resolution</t>
  </si>
  <si>
    <t>Non - Critical Incident</t>
  </si>
  <si>
    <t>CIS</t>
  </si>
  <si>
    <t>Completed</t>
  </si>
  <si>
    <t>In-Progress</t>
  </si>
  <si>
    <t>People</t>
  </si>
  <si>
    <t>SR</t>
  </si>
  <si>
    <t>Incidents</t>
  </si>
  <si>
    <t>Change Induced</t>
  </si>
  <si>
    <t>Manual Effort Eliminated %</t>
  </si>
  <si>
    <t>CRQ Compliance</t>
  </si>
  <si>
    <t>ExaData</t>
  </si>
  <si>
    <t>TeraData</t>
  </si>
  <si>
    <t>Workorder</t>
  </si>
  <si>
    <t>CI Idea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</si>
</sst>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dd/mm/yyyy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0">
    <xf numFmtId="0" fontId="0" fillId="0" borderId="0" xfId="0"/>
    <xf numFmtId="49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14" fontId="0" fillId="0" borderId="0" xfId="0" applyNumberFormat="1"/>
    <xf numFmtId="0" fontId="0" fillId="0" borderId="3" xfId="0" applyBorder="1"/>
    <xf numFmtId="17" fontId="0" fillId="0" borderId="0" xfId="0" applyNumberFormat="1"/>
    <xf numFmtId="0" fontId="2" fillId="0" borderId="3" xfId="0" applyFont="1" applyBorder="1"/>
    <xf numFmtId="0" fontId="0" fillId="0" borderId="3" xfId="0" applyBorder="1" applyAlignment="1">
      <alignment horizontal="right"/>
    </xf>
    <xf numFmtId="9" fontId="0" fillId="0" borderId="3" xfId="0" applyNumberFormat="1" applyBorder="1"/>
    <xf numFmtId="49" fontId="0" fillId="0" borderId="2" xfId="0" applyNumberFormat="1" applyBorder="1"/>
    <xf numFmtId="0" fontId="5" fillId="0" borderId="0" xfId="0" applyFont="1"/>
    <xf numFmtId="9" fontId="5" fillId="0" borderId="0" xfId="0" applyNumberFormat="1" applyFont="1"/>
    <xf numFmtId="49" fontId="5" fillId="0" borderId="2" xfId="0" applyNumberFormat="1" applyFont="1" applyBorder="1"/>
    <xf numFmtId="10" fontId="5" fillId="0" borderId="0" xfId="0" applyNumberFormat="1" applyFont="1"/>
    <xf numFmtId="1" fontId="5" fillId="0" borderId="0" xfId="0" applyNumberFormat="1" applyFont="1"/>
    <xf numFmtId="164" fontId="5" fillId="0" borderId="0" xfId="1" applyNumberFormat="1" applyFont="1"/>
    <xf numFmtId="165" fontId="0" fillId="0" borderId="0" xfId="0" applyNumberFormat="1"/>
    <xf numFmtId="0" fontId="0" fillId="0" borderId="0" xfId="0" applyNumberFormat="1"/>
    <xf numFmtId="49" fontId="0" fillId="0" borderId="0" xfId="0" applyNumberFormat="1" applyAlignment="1"/>
  </cellXfs>
  <cellStyles count="2">
    <cellStyle name="Normal" xfId="0" builtinId="0"/>
    <cellStyle name="Percent" xfId="1" builtinId="5"/>
  </cellStyles>
  <dxfs count="14">
    <dxf>
      <numFmt numFmtId="30" formatCode="@"/>
      <alignment horizontal="general" vertical="bottom" textRotation="0" wrapText="0" indent="0" justifyLastLine="0" shrinkToFit="0" readingOrder="0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5" formatCode="dd/mm/yyyy"/>
    </dxf>
    <dxf>
      <numFmt numFmtId="30" formatCode="@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3</xdr:row>
          <xdr:rowOff>142875</xdr:rowOff>
        </xdr:from>
        <xdr:to>
          <xdr:col>6</xdr:col>
          <xdr:colOff>19050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Executive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</xdr:row>
      <xdr:rowOff>9525</xdr:rowOff>
    </xdr:from>
    <xdr:to>
      <xdr:col>14</xdr:col>
      <xdr:colOff>425218</xdr:colOff>
      <xdr:row>30</xdr:row>
      <xdr:rowOff>94080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xmlns="" id="{00000000-0008-0000-0700-00006E000000}"/>
            </a:ext>
          </a:extLst>
        </xdr:cNvPr>
        <xdr:cNvGrpSpPr/>
      </xdr:nvGrpSpPr>
      <xdr:grpSpPr>
        <a:xfrm>
          <a:off x="123825" y="581025"/>
          <a:ext cx="9788293" cy="5228055"/>
          <a:chOff x="337014" y="945599"/>
          <a:chExt cx="9788293" cy="5228055"/>
        </a:xfrm>
      </xdr:grpSpPr>
      <xdr:sp macro="" textlink="">
        <xdr:nvSpPr>
          <xdr:cNvPr id="111" name="Rectangle 110">
            <a:extLst>
              <a:ext uri="{FF2B5EF4-FFF2-40B4-BE49-F238E27FC236}">
                <a16:creationId xmlns:a16="http://schemas.microsoft.com/office/drawing/2014/main" xmlns="" id="{00000000-0008-0000-0700-00006F000000}"/>
              </a:ext>
            </a:extLst>
          </xdr:cNvPr>
          <xdr:cNvSpPr/>
        </xdr:nvSpPr>
        <xdr:spPr>
          <a:xfrm>
            <a:off x="363140" y="945599"/>
            <a:ext cx="6694826" cy="1608668"/>
          </a:xfrm>
          <a:prstGeom prst="rect">
            <a:avLst/>
          </a:prstGeom>
          <a:solidFill>
            <a:sysClr val="window" lastClr="FFFFFF">
              <a:lumMod val="95000"/>
            </a:sysClr>
          </a:solidFill>
          <a:ln w="12700" cap="flat" cmpd="sng" algn="ctr">
            <a:noFill/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xdr:spPr>
        <xdr:txBody>
          <a:bodyPr spcFirstLastPara="0" vert="horz" wrap="square" lIns="93928" tIns="93928" rIns="93928" bIns="93928" numCol="1" spcCol="1270" anchor="t" anchorCtr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9pPr>
          </a:lstStyle>
          <a:p>
            <a:pPr defTabSz="710898">
              <a:lnSpc>
                <a:spcPct val="90000"/>
              </a:lnSpc>
              <a:spcAft>
                <a:spcPct val="35000"/>
              </a:spcAft>
              <a:defRPr/>
            </a:pPr>
            <a:r>
              <a:rPr lang="en-IN" sz="1600" b="1" kern="0">
                <a:latin typeface="Calibri" panose="020F0502020204030204" pitchFamily="34" charset="0"/>
              </a:rPr>
              <a:t>Incident Management (Non-Critical/High)</a:t>
            </a:r>
          </a:p>
          <a:p>
            <a:pPr algn="ctr" defTabSz="710898">
              <a:lnSpc>
                <a:spcPct val="90000"/>
              </a:lnSpc>
              <a:spcAft>
                <a:spcPct val="35000"/>
              </a:spcAft>
              <a:defRPr/>
            </a:pPr>
            <a:endParaRPr lang="en-IN" sz="1400" b="1" i="1" kern="0">
              <a:solidFill>
                <a:prstClr val="white"/>
              </a:solidFill>
              <a:latin typeface="Calibri" panose="020F0502020204030204" pitchFamily="34" charset="0"/>
            </a:endParaRPr>
          </a:p>
          <a:p>
            <a:pPr defTabSz="710898">
              <a:lnSpc>
                <a:spcPct val="90000"/>
              </a:lnSpc>
              <a:spcAft>
                <a:spcPct val="35000"/>
              </a:spcAft>
              <a:defRPr/>
            </a:pPr>
            <a:endParaRPr lang="en-IN" sz="1400" b="1" i="1" kern="0">
              <a:solidFill>
                <a:prstClr val="white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xmlns="" id="{00000000-0008-0000-0700-000070000000}"/>
              </a:ext>
            </a:extLst>
          </xdr:cNvPr>
          <xdr:cNvSpPr/>
        </xdr:nvSpPr>
        <xdr:spPr>
          <a:xfrm>
            <a:off x="338135" y="2211092"/>
            <a:ext cx="2189248" cy="380870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9pPr>
          </a:lstStyle>
          <a:p>
            <a:pPr algn="ctr"/>
            <a:r>
              <a:rPr lang="en-US" sz="1000">
                <a:solidFill>
                  <a:sysClr val="windowText" lastClr="000000"/>
                </a:solidFill>
                <a:latin typeface="Tahoma"/>
              </a:rPr>
              <a:t>95% - STD     90% - T’hold </a:t>
            </a:r>
          </a:p>
        </xdr:txBody>
      </xdr:sp>
      <xdr:sp macro="" textlink="$C$4">
        <xdr:nvSpPr>
          <xdr:cNvPr id="113" name="TextBox 131">
            <a:extLst>
              <a:ext uri="{FF2B5EF4-FFF2-40B4-BE49-F238E27FC236}">
                <a16:creationId xmlns:a16="http://schemas.microsoft.com/office/drawing/2014/main" xmlns="" id="{00000000-0008-0000-0700-000071000000}"/>
              </a:ext>
            </a:extLst>
          </xdr:cNvPr>
          <xdr:cNvSpPr txBox="1"/>
        </xdr:nvSpPr>
        <xdr:spPr>
          <a:xfrm>
            <a:off x="700214" y="1635238"/>
            <a:ext cx="1538070" cy="48288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9pPr>
          </a:lstStyle>
          <a:p>
            <a:pPr algn="ctr"/>
            <a:fld id="{D4A8435E-151D-4825-8B05-36A599975EA6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#NAME?</a:t>
            </a:fld>
            <a:endParaRPr lang="en-US" sz="4800" b="1">
              <a:latin typeface="Tahoma"/>
            </a:endParaRPr>
          </a:p>
        </xdr:txBody>
      </xdr:sp>
      <xdr:sp macro="" textlink="">
        <xdr:nvSpPr>
          <xdr:cNvPr id="114" name="Rectangle 113">
            <a:extLst>
              <a:ext uri="{FF2B5EF4-FFF2-40B4-BE49-F238E27FC236}">
                <a16:creationId xmlns:a16="http://schemas.microsoft.com/office/drawing/2014/main" xmlns="" id="{00000000-0008-0000-0700-000072000000}"/>
              </a:ext>
            </a:extLst>
          </xdr:cNvPr>
          <xdr:cNvSpPr/>
        </xdr:nvSpPr>
        <xdr:spPr>
          <a:xfrm>
            <a:off x="377355" y="1313934"/>
            <a:ext cx="2174752" cy="380870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9pPr>
          </a:lstStyle>
          <a:p>
            <a:pPr algn="ctr"/>
            <a:r>
              <a:rPr lang="en-US" sz="1400" b="1">
                <a:solidFill>
                  <a:srgbClr val="0070C0"/>
                </a:solidFill>
              </a:rPr>
              <a:t>Response</a:t>
            </a:r>
          </a:p>
        </xdr:txBody>
      </xdr:sp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xmlns="" id="{00000000-0008-0000-0700-000073000000}"/>
              </a:ext>
            </a:extLst>
          </xdr:cNvPr>
          <xdr:cNvSpPr/>
        </xdr:nvSpPr>
        <xdr:spPr>
          <a:xfrm>
            <a:off x="2803231" y="1313934"/>
            <a:ext cx="1602883" cy="380870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9pPr>
          </a:lstStyle>
          <a:p>
            <a:pPr algn="ctr"/>
            <a:r>
              <a:rPr lang="en-US" sz="1400" b="1">
                <a:solidFill>
                  <a:srgbClr val="0070C0"/>
                </a:solidFill>
              </a:rPr>
              <a:t>Resolution</a:t>
            </a:r>
          </a:p>
        </xdr:txBody>
      </xdr:sp>
      <xdr:sp macro="" textlink="$C$5">
        <xdr:nvSpPr>
          <xdr:cNvPr id="116" name="TextBox 134">
            <a:extLst>
              <a:ext uri="{FF2B5EF4-FFF2-40B4-BE49-F238E27FC236}">
                <a16:creationId xmlns:a16="http://schemas.microsoft.com/office/drawing/2014/main" xmlns="" id="{00000000-0008-0000-0700-000074000000}"/>
              </a:ext>
            </a:extLst>
          </xdr:cNvPr>
          <xdr:cNvSpPr txBox="1"/>
        </xdr:nvSpPr>
        <xdr:spPr>
          <a:xfrm>
            <a:off x="2695191" y="1635238"/>
            <a:ext cx="1878731" cy="48288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9pPr>
          </a:lstStyle>
          <a:p>
            <a:pPr algn="ctr"/>
            <a:fld id="{E9D3AA5D-3E64-4B11-BA03-6360F180DB9E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#NAME?</a:t>
            </a:fld>
            <a:endParaRPr lang="en-US" sz="4800" b="1">
              <a:latin typeface="Tahoma"/>
            </a:endParaRPr>
          </a:p>
        </xdr:txBody>
      </xdr:sp>
      <xdr:cxnSp macro="">
        <xdr:nvCxnSpPr>
          <xdr:cNvPr id="117" name="Straight Connector 116">
            <a:extLst>
              <a:ext uri="{FF2B5EF4-FFF2-40B4-BE49-F238E27FC236}">
                <a16:creationId xmlns:a16="http://schemas.microsoft.com/office/drawing/2014/main" xmlns="" id="{00000000-0008-0000-0700-000075000000}"/>
              </a:ext>
            </a:extLst>
          </xdr:cNvPr>
          <xdr:cNvCxnSpPr/>
        </xdr:nvCxnSpPr>
        <xdr:spPr>
          <a:xfrm>
            <a:off x="2528847" y="1480302"/>
            <a:ext cx="0" cy="716085"/>
          </a:xfrm>
          <a:prstGeom prst="line">
            <a:avLst/>
          </a:prstGeom>
          <a:noFill/>
          <a:ln w="6350" cap="flat" cmpd="sng" algn="ctr">
            <a:solidFill>
              <a:srgbClr val="006BA6"/>
            </a:solidFill>
            <a:prstDash val="dash"/>
            <a:miter lim="800000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xmlns="" id="{00000000-0008-0000-0700-000076000000}"/>
              </a:ext>
            </a:extLst>
          </xdr:cNvPr>
          <xdr:cNvSpPr/>
        </xdr:nvSpPr>
        <xdr:spPr>
          <a:xfrm>
            <a:off x="2535445" y="2211092"/>
            <a:ext cx="2201448" cy="380870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9pPr>
          </a:lstStyle>
          <a:p>
            <a:pPr algn="ctr"/>
            <a:r>
              <a:rPr lang="en-US" sz="1000">
                <a:solidFill>
                  <a:sysClr val="windowText" lastClr="000000"/>
                </a:solidFill>
                <a:latin typeface="Tahoma"/>
              </a:rPr>
              <a:t>95% - STD     90% - T’hold </a:t>
            </a:r>
          </a:p>
        </xdr:txBody>
      </xdr:sp>
      <xdr:sp macro="" textlink="">
        <xdr:nvSpPr>
          <xdr:cNvPr id="119" name="Rectangle 118">
            <a:extLst>
              <a:ext uri="{FF2B5EF4-FFF2-40B4-BE49-F238E27FC236}">
                <a16:creationId xmlns:a16="http://schemas.microsoft.com/office/drawing/2014/main" xmlns="" id="{00000000-0008-0000-0700-000077000000}"/>
              </a:ext>
            </a:extLst>
          </xdr:cNvPr>
          <xdr:cNvSpPr/>
        </xdr:nvSpPr>
        <xdr:spPr>
          <a:xfrm>
            <a:off x="5071335" y="1313482"/>
            <a:ext cx="1731988" cy="321756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9pPr>
          </a:lstStyle>
          <a:p>
            <a:pPr algn="ctr"/>
            <a:r>
              <a:rPr lang="en-US" sz="1400" b="1">
                <a:solidFill>
                  <a:srgbClr val="0070C0"/>
                </a:solidFill>
              </a:rPr>
              <a:t>Change-Induced</a:t>
            </a:r>
          </a:p>
        </xdr:txBody>
      </xdr:sp>
      <xdr:sp macro="" textlink="$C$6">
        <xdr:nvSpPr>
          <xdr:cNvPr id="120" name="TextBox 138">
            <a:extLst>
              <a:ext uri="{FF2B5EF4-FFF2-40B4-BE49-F238E27FC236}">
                <a16:creationId xmlns:a16="http://schemas.microsoft.com/office/drawing/2014/main" xmlns="" id="{00000000-0008-0000-0700-000078000000}"/>
              </a:ext>
            </a:extLst>
          </xdr:cNvPr>
          <xdr:cNvSpPr txBox="1"/>
        </xdr:nvSpPr>
        <xdr:spPr>
          <a:xfrm>
            <a:off x="5087515" y="1635238"/>
            <a:ext cx="1579215" cy="48288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9pPr>
          </a:lstStyle>
          <a:p>
            <a:pPr algn="ctr"/>
            <a:fld id="{A949F187-303A-4EB9-B6C2-6452084475F0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#NAME?</a:t>
            </a:fld>
            <a:endParaRPr lang="en-US" sz="4800" b="1">
              <a:latin typeface="Tahoma"/>
            </a:endParaRPr>
          </a:p>
        </xdr:txBody>
      </xdr:sp>
      <xdr:cxnSp macro="">
        <xdr:nvCxnSpPr>
          <xdr:cNvPr id="121" name="Straight Connector 120">
            <a:extLst>
              <a:ext uri="{FF2B5EF4-FFF2-40B4-BE49-F238E27FC236}">
                <a16:creationId xmlns:a16="http://schemas.microsoft.com/office/drawing/2014/main" xmlns="" id="{00000000-0008-0000-0700-000079000000}"/>
              </a:ext>
            </a:extLst>
          </xdr:cNvPr>
          <xdr:cNvCxnSpPr/>
        </xdr:nvCxnSpPr>
        <xdr:spPr>
          <a:xfrm>
            <a:off x="4730685" y="1479850"/>
            <a:ext cx="0" cy="716085"/>
          </a:xfrm>
          <a:prstGeom prst="line">
            <a:avLst/>
          </a:prstGeom>
          <a:noFill/>
          <a:ln w="6350" cap="flat" cmpd="sng" algn="ctr">
            <a:solidFill>
              <a:srgbClr val="006BA6"/>
            </a:solidFill>
            <a:prstDash val="dash"/>
            <a:miter lim="800000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xmlns="" id="{00000000-0008-0000-0700-00007A000000}"/>
              </a:ext>
            </a:extLst>
          </xdr:cNvPr>
          <xdr:cNvSpPr/>
        </xdr:nvSpPr>
        <xdr:spPr>
          <a:xfrm>
            <a:off x="4730682" y="2211092"/>
            <a:ext cx="2327265" cy="380870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9pPr>
          </a:lstStyle>
          <a:p>
            <a:pPr algn="ctr"/>
            <a:r>
              <a:rPr lang="en-US" sz="1000">
                <a:solidFill>
                  <a:sysClr val="windowText" lastClr="000000"/>
                </a:solidFill>
                <a:latin typeface="Tahoma"/>
              </a:rPr>
              <a:t>0 - STD     1 / yr - T’hold </a:t>
            </a:r>
          </a:p>
        </xdr:txBody>
      </xdr:sp>
      <xdr:sp macro="" textlink="">
        <xdr:nvSpPr>
          <xdr:cNvPr id="123" name="Rectangle 122">
            <a:extLst>
              <a:ext uri="{FF2B5EF4-FFF2-40B4-BE49-F238E27FC236}">
                <a16:creationId xmlns:a16="http://schemas.microsoft.com/office/drawing/2014/main" xmlns="" id="{00000000-0008-0000-0700-00007B000000}"/>
              </a:ext>
            </a:extLst>
          </xdr:cNvPr>
          <xdr:cNvSpPr/>
        </xdr:nvSpPr>
        <xdr:spPr>
          <a:xfrm>
            <a:off x="7235579" y="945600"/>
            <a:ext cx="2733612" cy="1608668"/>
          </a:xfrm>
          <a:prstGeom prst="rect">
            <a:avLst/>
          </a:prstGeom>
          <a:solidFill>
            <a:sysClr val="window" lastClr="FFFFFF">
              <a:lumMod val="95000"/>
            </a:sysClr>
          </a:solidFill>
          <a:ln w="12700" cap="flat" cmpd="sng" algn="ctr">
            <a:noFill/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xdr:spPr>
        <xdr:txBody>
          <a:bodyPr spcFirstLastPara="0" vert="horz" wrap="square" lIns="93928" tIns="93928" rIns="93928" bIns="93928" numCol="1" spcCol="1270" anchor="t" anchorCtr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9pPr>
          </a:lstStyle>
          <a:p>
            <a:pPr defTabSz="710898">
              <a:lnSpc>
                <a:spcPct val="90000"/>
              </a:lnSpc>
              <a:spcAft>
                <a:spcPct val="35000"/>
              </a:spcAft>
              <a:defRPr/>
            </a:pPr>
            <a:r>
              <a:rPr lang="en-IN" sz="1600" b="1" kern="0">
                <a:latin typeface="Calibri" panose="020F0502020204030204" pitchFamily="34" charset="0"/>
              </a:rPr>
              <a:t>Service Request Management</a:t>
            </a:r>
          </a:p>
          <a:p>
            <a:pPr algn="ctr" defTabSz="710898">
              <a:lnSpc>
                <a:spcPct val="90000"/>
              </a:lnSpc>
              <a:spcAft>
                <a:spcPct val="35000"/>
              </a:spcAft>
              <a:defRPr/>
            </a:pPr>
            <a:endParaRPr lang="en-IN" sz="1400" b="1" i="1" kern="0">
              <a:latin typeface="Calibri" panose="020F0502020204030204" pitchFamily="34" charset="0"/>
            </a:endParaRPr>
          </a:p>
          <a:p>
            <a:pPr defTabSz="710898">
              <a:lnSpc>
                <a:spcPct val="90000"/>
              </a:lnSpc>
              <a:spcAft>
                <a:spcPct val="35000"/>
              </a:spcAft>
              <a:defRPr/>
            </a:pPr>
            <a:endParaRPr lang="en-IN" sz="1400" b="1" i="1" kern="0">
              <a:solidFill>
                <a:prstClr val="white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xmlns="" id="{00000000-0008-0000-0700-00007C000000}"/>
              </a:ext>
            </a:extLst>
          </xdr:cNvPr>
          <xdr:cNvSpPr/>
        </xdr:nvSpPr>
        <xdr:spPr>
          <a:xfrm>
            <a:off x="7239629" y="2211092"/>
            <a:ext cx="2714662" cy="380870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9pPr>
          </a:lstStyle>
          <a:p>
            <a:pPr algn="ctr"/>
            <a:r>
              <a:rPr lang="en-US" sz="1000">
                <a:solidFill>
                  <a:sysClr val="windowText" lastClr="000000"/>
                </a:solidFill>
                <a:latin typeface="Tahoma"/>
              </a:rPr>
              <a:t>95% - STD     90% - T’hold </a:t>
            </a:r>
          </a:p>
        </xdr:txBody>
      </xdr:sp>
      <xdr:sp macro="" textlink="$C$7">
        <xdr:nvSpPr>
          <xdr:cNvPr id="125" name="TextBox 144">
            <a:extLst>
              <a:ext uri="{FF2B5EF4-FFF2-40B4-BE49-F238E27FC236}">
                <a16:creationId xmlns:a16="http://schemas.microsoft.com/office/drawing/2014/main" xmlns="" id="{00000000-0008-0000-0700-00007D000000}"/>
              </a:ext>
            </a:extLst>
          </xdr:cNvPr>
          <xdr:cNvSpPr txBox="1"/>
        </xdr:nvSpPr>
        <xdr:spPr>
          <a:xfrm>
            <a:off x="7225774" y="1635238"/>
            <a:ext cx="2850486" cy="48288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9pPr>
          </a:lstStyle>
          <a:p>
            <a:pPr algn="ctr"/>
            <a:fld id="{902468DB-C33A-48F0-B61E-F155F1B3A02B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#NAME?</a:t>
            </a:fld>
            <a:endParaRPr lang="en-US" sz="4800" b="1">
              <a:latin typeface="Tahoma"/>
            </a:endParaRPr>
          </a:p>
        </xdr:txBody>
      </xdr:sp>
      <xdr:sp macro="" textlink="">
        <xdr:nvSpPr>
          <xdr:cNvPr id="126" name="Rectangle 125">
            <a:extLst>
              <a:ext uri="{FF2B5EF4-FFF2-40B4-BE49-F238E27FC236}">
                <a16:creationId xmlns:a16="http://schemas.microsoft.com/office/drawing/2014/main" xmlns="" id="{00000000-0008-0000-0700-00007E000000}"/>
              </a:ext>
            </a:extLst>
          </xdr:cNvPr>
          <xdr:cNvSpPr/>
        </xdr:nvSpPr>
        <xdr:spPr>
          <a:xfrm>
            <a:off x="7245501" y="1312033"/>
            <a:ext cx="2879806" cy="380870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9pPr>
          </a:lstStyle>
          <a:p>
            <a:pPr algn="ctr"/>
            <a:r>
              <a:rPr lang="en-US" sz="1400" b="1">
                <a:solidFill>
                  <a:srgbClr val="0070C0"/>
                </a:solidFill>
              </a:rPr>
              <a:t>On-time Execution</a:t>
            </a:r>
          </a:p>
        </xdr:txBody>
      </xdr:sp>
      <xdr:grpSp>
        <xdr:nvGrpSpPr>
          <xdr:cNvPr id="127" name="Group 126">
            <a:extLst>
              <a:ext uri="{FF2B5EF4-FFF2-40B4-BE49-F238E27FC236}">
                <a16:creationId xmlns:a16="http://schemas.microsoft.com/office/drawing/2014/main" xmlns="" id="{00000000-0008-0000-0700-00007F000000}"/>
              </a:ext>
            </a:extLst>
          </xdr:cNvPr>
          <xdr:cNvGrpSpPr/>
        </xdr:nvGrpSpPr>
        <xdr:grpSpPr>
          <a:xfrm>
            <a:off x="7254999" y="2743309"/>
            <a:ext cx="2724388" cy="1587495"/>
            <a:chOff x="377354" y="4714131"/>
            <a:chExt cx="2724388" cy="1587495"/>
          </a:xfrm>
          <a:solidFill>
            <a:sysClr val="window" lastClr="FFFFFF">
              <a:lumMod val="95000"/>
            </a:sysClr>
          </a:solidFill>
        </xdr:grpSpPr>
        <xdr:sp macro="" textlink="">
          <xdr:nvSpPr>
            <xdr:cNvPr id="162" name="Rectangle 161">
              <a:extLst>
                <a:ext uri="{FF2B5EF4-FFF2-40B4-BE49-F238E27FC236}">
                  <a16:creationId xmlns:a16="http://schemas.microsoft.com/office/drawing/2014/main" xmlns="" id="{00000000-0008-0000-0700-0000A2000000}"/>
                </a:ext>
              </a:extLst>
            </xdr:cNvPr>
            <xdr:cNvSpPr/>
          </xdr:nvSpPr>
          <xdr:spPr>
            <a:xfrm>
              <a:off x="378249" y="4714131"/>
              <a:ext cx="2723493" cy="1587495"/>
            </a:xfrm>
            <a:prstGeom prst="rect">
              <a:avLst/>
            </a:prstGeom>
            <a:grpFill/>
            <a:ln w="12700" cap="flat" cmpd="sng" algn="ctr">
              <a:noFill/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xdr:spPr>
          <xdr:txBody>
            <a:bodyPr spcFirstLastPara="0" vert="horz" wrap="square" lIns="93928" tIns="93928" rIns="93928" bIns="93928" numCol="1" spcCol="1270" anchor="t" anchorCtr="0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9pPr>
            </a:lstStyle>
            <a:p>
              <a:pPr defTabSz="710898">
                <a:lnSpc>
                  <a:spcPct val="90000"/>
                </a:lnSpc>
                <a:spcAft>
                  <a:spcPct val="35000"/>
                </a:spcAft>
                <a:defRPr/>
              </a:pPr>
              <a:r>
                <a:rPr lang="en-IN" sz="1600" b="1" kern="0"/>
                <a:t>Security Compliance</a:t>
              </a:r>
              <a:endParaRPr lang="en-IN" sz="1600" b="1" i="1" kern="0"/>
            </a:p>
            <a:p>
              <a:pPr defTabSz="710898">
                <a:lnSpc>
                  <a:spcPct val="90000"/>
                </a:lnSpc>
                <a:spcAft>
                  <a:spcPct val="35000"/>
                </a:spcAft>
                <a:defRPr/>
              </a:pPr>
              <a:endParaRPr lang="en-IN" sz="1400" b="1" i="1" kern="0">
                <a:solidFill>
                  <a:prstClr val="white"/>
                </a:solidFill>
              </a:endParaRPr>
            </a:p>
          </xdr:txBody>
        </xdr:sp>
        <xdr:sp macro="" textlink="">
          <xdr:nvSpPr>
            <xdr:cNvPr id="163" name="TextBox 173">
              <a:extLst>
                <a:ext uri="{FF2B5EF4-FFF2-40B4-BE49-F238E27FC236}">
                  <a16:creationId xmlns:a16="http://schemas.microsoft.com/office/drawing/2014/main" xmlns="" id="{00000000-0008-0000-0700-0000A3000000}"/>
                </a:ext>
              </a:extLst>
            </xdr:cNvPr>
            <xdr:cNvSpPr txBox="1"/>
          </xdr:nvSpPr>
          <xdr:spPr>
            <a:xfrm>
              <a:off x="377354" y="5306863"/>
              <a:ext cx="2714190" cy="461665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9pPr>
            </a:lstStyle>
            <a:p>
              <a:r>
                <a:rPr lang="en-US" b="1">
                  <a:latin typeface="Tahoma"/>
                </a:rPr>
                <a:t>97.4%*</a:t>
              </a:r>
            </a:p>
          </xdr:txBody>
        </xdr:sp>
      </xdr:grpSp>
      <xdr:sp macro="" textlink="">
        <xdr:nvSpPr>
          <xdr:cNvPr id="128" name="Rectangle 127">
            <a:extLst>
              <a:ext uri="{FF2B5EF4-FFF2-40B4-BE49-F238E27FC236}">
                <a16:creationId xmlns:a16="http://schemas.microsoft.com/office/drawing/2014/main" xmlns="" id="{00000000-0008-0000-0700-000080000000}"/>
              </a:ext>
            </a:extLst>
          </xdr:cNvPr>
          <xdr:cNvSpPr/>
        </xdr:nvSpPr>
        <xdr:spPr>
          <a:xfrm>
            <a:off x="411274" y="4493226"/>
            <a:ext cx="6646673" cy="1608668"/>
          </a:xfrm>
          <a:prstGeom prst="rect">
            <a:avLst/>
          </a:prstGeom>
          <a:solidFill>
            <a:sysClr val="window" lastClr="FFFFFF">
              <a:lumMod val="95000"/>
            </a:sysClr>
          </a:solidFill>
          <a:ln w="12700" cap="flat" cmpd="sng" algn="ctr">
            <a:noFill/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xdr:spPr>
        <xdr:txBody>
          <a:bodyPr spcFirstLastPara="0" vert="horz" wrap="square" lIns="93928" tIns="93928" rIns="93928" bIns="93928" numCol="1" spcCol="1270" anchor="t" anchorCtr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9pPr>
          </a:lstStyle>
          <a:p>
            <a:pPr defTabSz="710898">
              <a:lnSpc>
                <a:spcPct val="90000"/>
              </a:lnSpc>
              <a:spcAft>
                <a:spcPct val="35000"/>
              </a:spcAft>
              <a:defRPr/>
            </a:pPr>
            <a:r>
              <a:rPr lang="en-IN" sz="1600" b="1" kern="0">
                <a:latin typeface="Calibri" panose="020F0502020204030204" pitchFamily="34" charset="0"/>
              </a:rPr>
              <a:t>Continuous Improvements</a:t>
            </a:r>
          </a:p>
          <a:p>
            <a:pPr algn="ctr" defTabSz="710898">
              <a:lnSpc>
                <a:spcPct val="90000"/>
              </a:lnSpc>
              <a:spcAft>
                <a:spcPct val="35000"/>
              </a:spcAft>
              <a:defRPr/>
            </a:pPr>
            <a:endParaRPr lang="en-IN" sz="1400" b="1" i="1" kern="0">
              <a:solidFill>
                <a:prstClr val="white"/>
              </a:solidFill>
              <a:latin typeface="Calibri" panose="020F0502020204030204" pitchFamily="34" charset="0"/>
            </a:endParaRPr>
          </a:p>
          <a:p>
            <a:pPr defTabSz="710898">
              <a:lnSpc>
                <a:spcPct val="90000"/>
              </a:lnSpc>
              <a:spcAft>
                <a:spcPct val="35000"/>
              </a:spcAft>
              <a:defRPr/>
            </a:pPr>
            <a:endParaRPr lang="en-IN" sz="1400" b="1" i="1" kern="0">
              <a:solidFill>
                <a:prstClr val="white"/>
              </a:solidFill>
              <a:latin typeface="Calibri" panose="020F0502020204030204" pitchFamily="34" charset="0"/>
            </a:endParaRPr>
          </a:p>
        </xdr:txBody>
      </xdr:sp>
      <xdr:grpSp>
        <xdr:nvGrpSpPr>
          <xdr:cNvPr id="129" name="Group 128">
            <a:extLst>
              <a:ext uri="{FF2B5EF4-FFF2-40B4-BE49-F238E27FC236}">
                <a16:creationId xmlns:a16="http://schemas.microsoft.com/office/drawing/2014/main" xmlns="" id="{00000000-0008-0000-0700-000081000000}"/>
              </a:ext>
            </a:extLst>
          </xdr:cNvPr>
          <xdr:cNvGrpSpPr/>
        </xdr:nvGrpSpPr>
        <xdr:grpSpPr>
          <a:xfrm>
            <a:off x="389995" y="4753778"/>
            <a:ext cx="4499906" cy="1007987"/>
            <a:chOff x="338135" y="3152772"/>
            <a:chExt cx="4499906" cy="1007987"/>
          </a:xfrm>
        </xdr:grpSpPr>
        <xdr:sp macro="" textlink="">
          <xdr:nvSpPr>
            <xdr:cNvPr id="157" name="TextBox 183">
              <a:extLst>
                <a:ext uri="{FF2B5EF4-FFF2-40B4-BE49-F238E27FC236}">
                  <a16:creationId xmlns:a16="http://schemas.microsoft.com/office/drawing/2014/main" xmlns="" id="{00000000-0008-0000-0700-00009D000000}"/>
                </a:ext>
              </a:extLst>
            </xdr:cNvPr>
            <xdr:cNvSpPr txBox="1"/>
          </xdr:nvSpPr>
          <xdr:spPr>
            <a:xfrm>
              <a:off x="666855" y="3600063"/>
              <a:ext cx="1538070" cy="461665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9pPr>
            </a:lstStyle>
            <a:p>
              <a:pPr algn="ctr"/>
              <a:r>
                <a:rPr lang="en-US" sz="2400" b="1">
                  <a:latin typeface="Tahoma"/>
                </a:rPr>
                <a:t>2</a:t>
              </a:r>
            </a:p>
          </xdr:txBody>
        </xdr:sp>
        <xdr:sp macro="" textlink="">
          <xdr:nvSpPr>
            <xdr:cNvPr id="158" name="Rectangle 157">
              <a:extLst>
                <a:ext uri="{FF2B5EF4-FFF2-40B4-BE49-F238E27FC236}">
                  <a16:creationId xmlns:a16="http://schemas.microsoft.com/office/drawing/2014/main" xmlns="" id="{00000000-0008-0000-0700-00009E000000}"/>
                </a:ext>
              </a:extLst>
            </xdr:cNvPr>
            <xdr:cNvSpPr/>
          </xdr:nvSpPr>
          <xdr:spPr>
            <a:xfrm>
              <a:off x="338135" y="3278306"/>
              <a:ext cx="2171435" cy="380870"/>
            </a:xfrm>
            <a:prstGeom prst="rect">
              <a:avLst/>
            </a:prstGeom>
            <a:noFill/>
            <a:ln w="12700" cap="flat" cmpd="sng" algn="ctr">
              <a:noFill/>
              <a:prstDash val="solid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Tahoma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Tahoma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Tahoma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Tahoma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Tahoma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Tahoma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Tahoma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Tahoma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Tahoma"/>
                </a:defRPr>
              </a:lvl9pPr>
            </a:lstStyle>
            <a:p>
              <a:pPr algn="ctr"/>
              <a:r>
                <a:rPr lang="en-US" sz="1400" b="1">
                  <a:solidFill>
                    <a:srgbClr val="0070C0"/>
                  </a:solidFill>
                </a:rPr>
                <a:t>Implemented</a:t>
              </a:r>
            </a:p>
          </xdr:txBody>
        </xdr:sp>
        <xdr:sp macro="" textlink="">
          <xdr:nvSpPr>
            <xdr:cNvPr id="159" name="Rectangle 158">
              <a:extLst>
                <a:ext uri="{FF2B5EF4-FFF2-40B4-BE49-F238E27FC236}">
                  <a16:creationId xmlns:a16="http://schemas.microsoft.com/office/drawing/2014/main" xmlns="" id="{00000000-0008-0000-0700-00009F000000}"/>
                </a:ext>
              </a:extLst>
            </xdr:cNvPr>
            <xdr:cNvSpPr/>
          </xdr:nvSpPr>
          <xdr:spPr>
            <a:xfrm>
              <a:off x="2377476" y="3152772"/>
              <a:ext cx="2460565" cy="415069"/>
            </a:xfrm>
            <a:prstGeom prst="rect">
              <a:avLst/>
            </a:prstGeom>
            <a:noFill/>
            <a:ln w="12700" cap="flat" cmpd="sng" algn="ctr">
              <a:noFill/>
              <a:prstDash val="solid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Tahoma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Tahoma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Tahoma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Tahoma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Tahoma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Tahoma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Tahoma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Tahoma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ysClr val="window" lastClr="FFFFFF"/>
                  </a:solidFill>
                  <a:latin typeface="Tahoma"/>
                </a:defRPr>
              </a:lvl9pPr>
            </a:lstStyle>
            <a:p>
              <a:pPr algn="ctr"/>
              <a:r>
                <a:rPr lang="en-US" sz="1500" b="1">
                  <a:solidFill>
                    <a:srgbClr val="0070C0"/>
                  </a:solidFill>
                </a:rPr>
                <a:t>Manual </a:t>
              </a:r>
              <a:r>
                <a:rPr lang="en-US" sz="1400" b="1">
                  <a:solidFill>
                    <a:srgbClr val="0070C0"/>
                  </a:solidFill>
                </a:rPr>
                <a:t>Effort</a:t>
              </a:r>
              <a:r>
                <a:rPr lang="en-US" sz="1500" b="1">
                  <a:solidFill>
                    <a:srgbClr val="0070C0"/>
                  </a:solidFill>
                </a:rPr>
                <a:t> Eliminated</a:t>
              </a:r>
            </a:p>
          </xdr:txBody>
        </xdr:sp>
        <xdr:sp macro="" textlink="">
          <xdr:nvSpPr>
            <xdr:cNvPr id="160" name="TextBox 186">
              <a:extLst>
                <a:ext uri="{FF2B5EF4-FFF2-40B4-BE49-F238E27FC236}">
                  <a16:creationId xmlns:a16="http://schemas.microsoft.com/office/drawing/2014/main" xmlns="" id="{00000000-0008-0000-0700-0000A0000000}"/>
                </a:ext>
              </a:extLst>
            </xdr:cNvPr>
            <xdr:cNvSpPr txBox="1"/>
          </xdr:nvSpPr>
          <xdr:spPr>
            <a:xfrm>
              <a:off x="2524350" y="3598993"/>
              <a:ext cx="2203365" cy="461665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ysClr val="windowText" lastClr="000000"/>
                  </a:solidFill>
                  <a:latin typeface="Tahoma"/>
                </a:defRPr>
              </a:lvl9pPr>
            </a:lstStyle>
            <a:p>
              <a:pPr algn="ctr"/>
              <a:r>
                <a:rPr lang="en-US" sz="2400" b="1">
                  <a:latin typeface="Tahoma"/>
                </a:rPr>
                <a:t>42 hours</a:t>
              </a:r>
              <a:endParaRPr lang="en-US" sz="1200" b="1">
                <a:latin typeface="Tahoma"/>
              </a:endParaRPr>
            </a:p>
          </xdr:txBody>
        </xdr:sp>
        <xdr:cxnSp macro="">
          <xdr:nvCxnSpPr>
            <xdr:cNvPr id="161" name="Straight Connector 160">
              <a:extLst>
                <a:ext uri="{FF2B5EF4-FFF2-40B4-BE49-F238E27FC236}">
                  <a16:creationId xmlns:a16="http://schemas.microsoft.com/office/drawing/2014/main" xmlns="" id="{00000000-0008-0000-0700-0000A1000000}"/>
                </a:ext>
              </a:extLst>
            </xdr:cNvPr>
            <xdr:cNvCxnSpPr/>
          </xdr:nvCxnSpPr>
          <xdr:spPr>
            <a:xfrm>
              <a:off x="2523959" y="3444674"/>
              <a:ext cx="0" cy="716085"/>
            </a:xfrm>
            <a:prstGeom prst="line">
              <a:avLst/>
            </a:prstGeom>
            <a:noFill/>
            <a:ln w="6350" cap="flat" cmpd="sng" algn="ctr">
              <a:solidFill>
                <a:srgbClr val="002060"/>
              </a:solidFill>
              <a:prstDash val="dash"/>
              <a:miter lim="800000"/>
            </a:ln>
            <a:effectLst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xmlns="" id="{00000000-0008-0000-0700-000082000000}"/>
              </a:ext>
            </a:extLst>
          </xdr:cNvPr>
          <xdr:cNvSpPr/>
        </xdr:nvSpPr>
        <xdr:spPr>
          <a:xfrm>
            <a:off x="4730690" y="3042657"/>
            <a:ext cx="2203757" cy="380870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9pPr>
          </a:lstStyle>
          <a:p>
            <a:pPr algn="ctr"/>
            <a:endParaRPr lang="en-US" sz="1500" b="1">
              <a:solidFill>
                <a:srgbClr val="7030A0"/>
              </a:solidFill>
            </a:endParaRPr>
          </a:p>
        </xdr:txBody>
      </xdr:sp>
      <xdr:cxnSp macro="">
        <xdr:nvCxnSpPr>
          <xdr:cNvPr id="131" name="Straight Connector 130">
            <a:extLst>
              <a:ext uri="{FF2B5EF4-FFF2-40B4-BE49-F238E27FC236}">
                <a16:creationId xmlns:a16="http://schemas.microsoft.com/office/drawing/2014/main" xmlns="" id="{00000000-0008-0000-0700-000083000000}"/>
              </a:ext>
            </a:extLst>
          </xdr:cNvPr>
          <xdr:cNvCxnSpPr>
            <a:cxnSpLocks/>
          </xdr:cNvCxnSpPr>
        </xdr:nvCxnSpPr>
        <xdr:spPr>
          <a:xfrm>
            <a:off x="337014" y="955171"/>
            <a:ext cx="6734046" cy="35856"/>
          </a:xfrm>
          <a:prstGeom prst="line">
            <a:avLst/>
          </a:prstGeom>
          <a:noFill/>
          <a:ln w="76200" cap="flat" cmpd="sng" algn="ctr">
            <a:solidFill>
              <a:srgbClr val="78BE20"/>
            </a:solidFill>
            <a:prstDash val="solid"/>
          </a:ln>
          <a:effectLst/>
        </xdr:spPr>
      </xdr:cxnSp>
      <xdr:cxnSp macro="">
        <xdr:nvCxnSpPr>
          <xdr:cNvPr id="132" name="Straight Connector 131">
            <a:extLst>
              <a:ext uri="{FF2B5EF4-FFF2-40B4-BE49-F238E27FC236}">
                <a16:creationId xmlns:a16="http://schemas.microsoft.com/office/drawing/2014/main" xmlns="" id="{00000000-0008-0000-0700-000084000000}"/>
              </a:ext>
            </a:extLst>
          </xdr:cNvPr>
          <xdr:cNvCxnSpPr>
            <a:cxnSpLocks/>
          </xdr:cNvCxnSpPr>
        </xdr:nvCxnSpPr>
        <xdr:spPr>
          <a:xfrm flipV="1">
            <a:off x="7216726" y="946846"/>
            <a:ext cx="2762270" cy="36576"/>
          </a:xfrm>
          <a:prstGeom prst="line">
            <a:avLst/>
          </a:prstGeom>
          <a:noFill/>
          <a:ln w="76200" cap="flat" cmpd="sng" algn="ctr">
            <a:solidFill>
              <a:srgbClr val="78BE20"/>
            </a:solidFill>
            <a:prstDash val="solid"/>
          </a:ln>
          <a:effectLst/>
        </xdr:spPr>
      </xdr:cxnSp>
      <xdr:cxnSp macro="">
        <xdr:nvCxnSpPr>
          <xdr:cNvPr id="133" name="Straight Connector 132">
            <a:extLst>
              <a:ext uri="{FF2B5EF4-FFF2-40B4-BE49-F238E27FC236}">
                <a16:creationId xmlns:a16="http://schemas.microsoft.com/office/drawing/2014/main" xmlns="" id="{00000000-0008-0000-0700-000085000000}"/>
              </a:ext>
            </a:extLst>
          </xdr:cNvPr>
          <xdr:cNvCxnSpPr>
            <a:cxnSpLocks/>
          </xdr:cNvCxnSpPr>
        </xdr:nvCxnSpPr>
        <xdr:spPr>
          <a:xfrm flipV="1">
            <a:off x="7225774" y="2750574"/>
            <a:ext cx="2743415" cy="6775"/>
          </a:xfrm>
          <a:prstGeom prst="line">
            <a:avLst/>
          </a:prstGeom>
          <a:noFill/>
          <a:ln w="76200" cap="flat" cmpd="sng" algn="ctr">
            <a:solidFill>
              <a:srgbClr val="78BE20"/>
            </a:solidFill>
            <a:prstDash val="solid"/>
          </a:ln>
          <a:effectLst/>
        </xdr:spPr>
      </xdr:cxnSp>
      <xdr:cxnSp macro="">
        <xdr:nvCxnSpPr>
          <xdr:cNvPr id="134" name="Straight Connector 133">
            <a:extLst>
              <a:ext uri="{FF2B5EF4-FFF2-40B4-BE49-F238E27FC236}">
                <a16:creationId xmlns:a16="http://schemas.microsoft.com/office/drawing/2014/main" xmlns="" id="{00000000-0008-0000-0700-000086000000}"/>
              </a:ext>
            </a:extLst>
          </xdr:cNvPr>
          <xdr:cNvCxnSpPr>
            <a:cxnSpLocks/>
          </xdr:cNvCxnSpPr>
        </xdr:nvCxnSpPr>
        <xdr:spPr>
          <a:xfrm>
            <a:off x="387365" y="4543000"/>
            <a:ext cx="6679986" cy="0"/>
          </a:xfrm>
          <a:prstGeom prst="line">
            <a:avLst/>
          </a:prstGeom>
          <a:noFill/>
          <a:ln w="76200" cap="flat" cmpd="sng" algn="ctr">
            <a:solidFill>
              <a:srgbClr val="78BE20"/>
            </a:solidFill>
            <a:prstDash val="solid"/>
          </a:ln>
          <a:effectLst/>
        </xdr:spPr>
      </xdr:cxnSp>
      <xdr:sp macro="" textlink="">
        <xdr:nvSpPr>
          <xdr:cNvPr id="135" name="Rectangle 134">
            <a:extLst>
              <a:ext uri="{FF2B5EF4-FFF2-40B4-BE49-F238E27FC236}">
                <a16:creationId xmlns:a16="http://schemas.microsoft.com/office/drawing/2014/main" xmlns="" id="{00000000-0008-0000-0700-000087000000}"/>
              </a:ext>
            </a:extLst>
          </xdr:cNvPr>
          <xdr:cNvSpPr/>
        </xdr:nvSpPr>
        <xdr:spPr>
          <a:xfrm>
            <a:off x="422134" y="5740669"/>
            <a:ext cx="2123220" cy="323736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9pPr>
          </a:lstStyle>
          <a:p>
            <a:pPr algn="ctr"/>
            <a:r>
              <a:rPr lang="en-US" sz="1000">
                <a:solidFill>
                  <a:sysClr val="windowText" lastClr="000000"/>
                </a:solidFill>
              </a:rPr>
              <a:t>12 Generated</a:t>
            </a:r>
          </a:p>
        </xdr:txBody>
      </xdr:sp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xmlns="" id="{00000000-0008-0000-0700-000088000000}"/>
              </a:ext>
            </a:extLst>
          </xdr:cNvPr>
          <xdr:cNvSpPr/>
        </xdr:nvSpPr>
        <xdr:spPr>
          <a:xfrm>
            <a:off x="2575817" y="5792784"/>
            <a:ext cx="2154865" cy="380870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9pPr>
          </a:lstStyle>
          <a:p>
            <a:pPr algn="ctr"/>
            <a:r>
              <a:rPr lang="en-US" sz="1000">
                <a:solidFill>
                  <a:sysClr val="windowText" lastClr="000000"/>
                </a:solidFill>
                <a:latin typeface="Tahoma"/>
              </a:rPr>
              <a:t>Apr-18 to Till date </a:t>
            </a:r>
          </a:p>
          <a:p>
            <a:pPr algn="ctr"/>
            <a:endParaRPr lang="en-US" sz="1000" b="1">
              <a:solidFill>
                <a:sysClr val="windowText" lastClr="000000"/>
              </a:solidFill>
              <a:latin typeface="Tahoma"/>
            </a:endParaRPr>
          </a:p>
        </xdr:txBody>
      </xdr:sp>
      <xdr:sp macro="" textlink="">
        <xdr:nvSpPr>
          <xdr:cNvPr id="137" name="TextBox 56">
            <a:extLst>
              <a:ext uri="{FF2B5EF4-FFF2-40B4-BE49-F238E27FC236}">
                <a16:creationId xmlns:a16="http://schemas.microsoft.com/office/drawing/2014/main" xmlns="" id="{00000000-0008-0000-0700-000089000000}"/>
              </a:ext>
            </a:extLst>
          </xdr:cNvPr>
          <xdr:cNvSpPr txBox="1"/>
        </xdr:nvSpPr>
        <xdr:spPr>
          <a:xfrm>
            <a:off x="7057946" y="3994096"/>
            <a:ext cx="2585192" cy="24622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9pPr>
          </a:lstStyle>
          <a:p>
            <a:pPr algn="ctr"/>
            <a:r>
              <a:rPr lang="en-US" sz="1000"/>
              <a:t>*Account wide score</a:t>
            </a:r>
          </a:p>
        </xdr:txBody>
      </xdr:sp>
      <xdr:grpSp>
        <xdr:nvGrpSpPr>
          <xdr:cNvPr id="138" name="Group 137">
            <a:extLst>
              <a:ext uri="{FF2B5EF4-FFF2-40B4-BE49-F238E27FC236}">
                <a16:creationId xmlns:a16="http://schemas.microsoft.com/office/drawing/2014/main" xmlns="" id="{00000000-0008-0000-0700-00008A000000}"/>
              </a:ext>
            </a:extLst>
          </xdr:cNvPr>
          <xdr:cNvGrpSpPr/>
        </xdr:nvGrpSpPr>
        <xdr:grpSpPr>
          <a:xfrm>
            <a:off x="354976" y="2719152"/>
            <a:ext cx="6734046" cy="1633293"/>
            <a:chOff x="354976" y="2902034"/>
            <a:chExt cx="6734046" cy="1633293"/>
          </a:xfrm>
        </xdr:grpSpPr>
        <xdr:grpSp>
          <xdr:nvGrpSpPr>
            <xdr:cNvPr id="144" name="Group 143">
              <a:extLst>
                <a:ext uri="{FF2B5EF4-FFF2-40B4-BE49-F238E27FC236}">
                  <a16:creationId xmlns:a16="http://schemas.microsoft.com/office/drawing/2014/main" xmlns="" id="{00000000-0008-0000-0700-000090000000}"/>
                </a:ext>
              </a:extLst>
            </xdr:cNvPr>
            <xdr:cNvGrpSpPr/>
          </xdr:nvGrpSpPr>
          <xdr:grpSpPr>
            <a:xfrm>
              <a:off x="376141" y="2926659"/>
              <a:ext cx="6696041" cy="1608668"/>
              <a:chOff x="5068997" y="3003769"/>
              <a:chExt cx="6696041" cy="1608668"/>
            </a:xfrm>
          </xdr:grpSpPr>
          <xdr:sp macro="" textlink="">
            <xdr:nvSpPr>
              <xdr:cNvPr id="146" name="Rectangle 145">
                <a:extLst>
                  <a:ext uri="{FF2B5EF4-FFF2-40B4-BE49-F238E27FC236}">
                    <a16:creationId xmlns:a16="http://schemas.microsoft.com/office/drawing/2014/main" xmlns="" id="{00000000-0008-0000-0700-000092000000}"/>
                  </a:ext>
                </a:extLst>
              </xdr:cNvPr>
              <xdr:cNvSpPr/>
            </xdr:nvSpPr>
            <xdr:spPr>
              <a:xfrm>
                <a:off x="5082090" y="3003769"/>
                <a:ext cx="6682948" cy="1608668"/>
              </a:xfrm>
              <a:prstGeom prst="rect">
                <a:avLst/>
              </a:prstGeom>
              <a:solidFill>
                <a:sysClr val="window" lastClr="FFFFFF">
                  <a:lumMod val="95000"/>
                </a:sysClr>
              </a:solidFill>
              <a:ln w="12700" cap="flat" cmpd="sng" algn="ctr">
                <a:noFill/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xdr:spPr>
            <xdr:txBody>
              <a:bodyPr spcFirstLastPara="0" vert="horz" wrap="square" lIns="93928" tIns="93928" rIns="93928" bIns="93928" numCol="1" spcCol="1270" anchor="t" anchorCtr="0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9pPr>
              </a:lstStyle>
              <a:p>
                <a:pPr defTabSz="710898">
                  <a:lnSpc>
                    <a:spcPct val="90000"/>
                  </a:lnSpc>
                  <a:spcAft>
                    <a:spcPct val="35000"/>
                  </a:spcAft>
                  <a:defRPr/>
                </a:pPr>
                <a:r>
                  <a:rPr lang="en-IN" sz="1600" b="1" kern="0">
                    <a:latin typeface="Calibri" panose="020F0502020204030204" pitchFamily="34" charset="0"/>
                  </a:rPr>
                  <a:t>People Management</a:t>
                </a:r>
              </a:p>
              <a:p>
                <a:pPr algn="ctr" defTabSz="710898">
                  <a:lnSpc>
                    <a:spcPct val="90000"/>
                  </a:lnSpc>
                  <a:spcAft>
                    <a:spcPct val="35000"/>
                  </a:spcAft>
                  <a:defRPr/>
                </a:pPr>
                <a:endParaRPr lang="en-IN" sz="1400" b="1" i="1" kern="0">
                  <a:solidFill>
                    <a:prstClr val="white"/>
                  </a:solidFill>
                  <a:latin typeface="Calibri" panose="020F0502020204030204" pitchFamily="34" charset="0"/>
                </a:endParaRPr>
              </a:p>
              <a:p>
                <a:pPr defTabSz="710898">
                  <a:lnSpc>
                    <a:spcPct val="90000"/>
                  </a:lnSpc>
                  <a:spcAft>
                    <a:spcPct val="35000"/>
                  </a:spcAft>
                  <a:defRPr/>
                </a:pPr>
                <a:endParaRPr lang="en-IN" sz="1400" b="1" i="1" kern="0">
                  <a:solidFill>
                    <a:prstClr val="white"/>
                  </a:solidFill>
                  <a:latin typeface="Calibri" panose="020F0502020204030204" pitchFamily="34" charset="0"/>
                </a:endParaRPr>
              </a:p>
            </xdr:txBody>
          </xdr:sp>
          <xdr:sp macro="" textlink="">
            <xdr:nvSpPr>
              <xdr:cNvPr id="147" name="Rectangle 146">
                <a:extLst>
                  <a:ext uri="{FF2B5EF4-FFF2-40B4-BE49-F238E27FC236}">
                    <a16:creationId xmlns:a16="http://schemas.microsoft.com/office/drawing/2014/main" xmlns="" id="{00000000-0008-0000-0700-000093000000}"/>
                  </a:ext>
                </a:extLst>
              </xdr:cNvPr>
              <xdr:cNvSpPr/>
            </xdr:nvSpPr>
            <xdr:spPr>
              <a:xfrm>
                <a:off x="5068997" y="4150217"/>
                <a:ext cx="2169866" cy="380870"/>
              </a:xfrm>
              <a:prstGeom prst="rect">
                <a:avLst/>
              </a:prstGeom>
              <a:noFill/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9pPr>
              </a:lstStyle>
              <a:p>
                <a:pPr algn="ctr"/>
                <a:r>
                  <a:rPr lang="en-US" sz="1000">
                    <a:solidFill>
                      <a:sysClr val="windowText" lastClr="000000"/>
                    </a:solidFill>
                    <a:latin typeface="Tahoma"/>
                  </a:rPr>
                  <a:t>Bridges, Resolute, Ambulatory, Cadence</a:t>
                </a:r>
              </a:p>
            </xdr:txBody>
          </xdr:sp>
          <xdr:sp macro="" textlink="$C$8">
            <xdr:nvSpPr>
              <xdr:cNvPr id="148" name="TextBox 192">
                <a:extLst>
                  <a:ext uri="{FF2B5EF4-FFF2-40B4-BE49-F238E27FC236}">
                    <a16:creationId xmlns:a16="http://schemas.microsoft.com/office/drawing/2014/main" xmlns="" id="{00000000-0008-0000-0700-000094000000}"/>
                  </a:ext>
                </a:extLst>
              </xdr:cNvPr>
              <xdr:cNvSpPr txBox="1"/>
            </xdr:nvSpPr>
            <xdr:spPr>
              <a:xfrm>
                <a:off x="5076420" y="3655965"/>
                <a:ext cx="2162443" cy="482889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9pPr>
              </a:lstStyle>
              <a:p>
                <a:pPr algn="ctr"/>
                <a:fld id="{5E40E738-6B9E-4625-9B8A-7FE9513C5434}" type="TxLink">
                  <a:rPr lang="en-US" sz="2400" b="1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pPr algn="ctr"/>
                  <a:t>#NAME?</a:t>
                </a:fld>
                <a:endParaRPr lang="en-US" sz="4800" b="1">
                  <a:latin typeface="Tahoma"/>
                </a:endParaRPr>
              </a:p>
            </xdr:txBody>
          </xdr:sp>
          <xdr:sp macro="" textlink="">
            <xdr:nvSpPr>
              <xdr:cNvPr id="149" name="Rectangle 148">
                <a:extLst>
                  <a:ext uri="{FF2B5EF4-FFF2-40B4-BE49-F238E27FC236}">
                    <a16:creationId xmlns:a16="http://schemas.microsoft.com/office/drawing/2014/main" xmlns="" id="{00000000-0008-0000-0700-000095000000}"/>
                  </a:ext>
                </a:extLst>
              </xdr:cNvPr>
              <xdr:cNvSpPr/>
            </xdr:nvSpPr>
            <xdr:spPr>
              <a:xfrm>
                <a:off x="5076420" y="3277689"/>
                <a:ext cx="2157162" cy="380870"/>
              </a:xfrm>
              <a:prstGeom prst="rect">
                <a:avLst/>
              </a:prstGeom>
              <a:noFill/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t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9pPr>
              </a:lstStyle>
              <a:p>
                <a:pPr algn="ctr"/>
                <a:r>
                  <a:rPr lang="en-US" sz="1400" b="1">
                    <a:solidFill>
                      <a:srgbClr val="0070C0"/>
                    </a:solidFill>
                  </a:rPr>
                  <a:t>Certification</a:t>
                </a:r>
              </a:p>
            </xdr:txBody>
          </xdr:sp>
          <xdr:sp macro="" textlink="">
            <xdr:nvSpPr>
              <xdr:cNvPr id="150" name="Rectangle 149">
                <a:extLst>
                  <a:ext uri="{FF2B5EF4-FFF2-40B4-BE49-F238E27FC236}">
                    <a16:creationId xmlns:a16="http://schemas.microsoft.com/office/drawing/2014/main" xmlns="" id="{00000000-0008-0000-0700-000096000000}"/>
                  </a:ext>
                </a:extLst>
              </xdr:cNvPr>
              <xdr:cNvSpPr/>
            </xdr:nvSpPr>
            <xdr:spPr>
              <a:xfrm>
                <a:off x="7228300" y="3277689"/>
                <a:ext cx="2212792" cy="380870"/>
              </a:xfrm>
              <a:prstGeom prst="rect">
                <a:avLst/>
              </a:prstGeom>
              <a:noFill/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t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9pPr>
              </a:lstStyle>
              <a:p>
                <a:pPr algn="ctr"/>
                <a:r>
                  <a:rPr lang="en-US" sz="1400" b="1">
                    <a:solidFill>
                      <a:srgbClr val="0070C0"/>
                    </a:solidFill>
                  </a:rPr>
                  <a:t>Staffing Tenure</a:t>
                </a:r>
              </a:p>
            </xdr:txBody>
          </xdr:sp>
          <xdr:cxnSp macro="">
            <xdr:nvCxnSpPr>
              <xdr:cNvPr id="151" name="Straight Connector 150">
                <a:extLst>
                  <a:ext uri="{FF2B5EF4-FFF2-40B4-BE49-F238E27FC236}">
                    <a16:creationId xmlns:a16="http://schemas.microsoft.com/office/drawing/2014/main" xmlns="" id="{00000000-0008-0000-0700-000097000000}"/>
                  </a:ext>
                </a:extLst>
              </xdr:cNvPr>
              <xdr:cNvCxnSpPr/>
            </xdr:nvCxnSpPr>
            <xdr:spPr>
              <a:xfrm>
                <a:off x="7233582" y="3444057"/>
                <a:ext cx="0" cy="716085"/>
              </a:xfrm>
              <a:prstGeom prst="line">
                <a:avLst/>
              </a:prstGeom>
              <a:noFill/>
              <a:ln w="6350" cap="flat" cmpd="sng" algn="ctr">
                <a:solidFill>
                  <a:srgbClr val="002060"/>
                </a:solidFill>
                <a:prstDash val="dash"/>
                <a:miter lim="800000"/>
              </a:ln>
              <a:effectLst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52" name="Rectangle 151">
                <a:extLst>
                  <a:ext uri="{FF2B5EF4-FFF2-40B4-BE49-F238E27FC236}">
                    <a16:creationId xmlns:a16="http://schemas.microsoft.com/office/drawing/2014/main" xmlns="" id="{00000000-0008-0000-0700-000098000000}"/>
                  </a:ext>
                </a:extLst>
              </xdr:cNvPr>
              <xdr:cNvSpPr/>
            </xdr:nvSpPr>
            <xdr:spPr>
              <a:xfrm>
                <a:off x="9429750" y="3277689"/>
                <a:ext cx="2184249" cy="380870"/>
              </a:xfrm>
              <a:prstGeom prst="rect">
                <a:avLst/>
              </a:prstGeom>
              <a:noFill/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t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9pPr>
              </a:lstStyle>
              <a:p>
                <a:pPr algn="ctr"/>
                <a:r>
                  <a:rPr lang="en-US" sz="1400" b="1">
                    <a:solidFill>
                      <a:srgbClr val="0070C0"/>
                    </a:solidFill>
                  </a:rPr>
                  <a:t>Attrition</a:t>
                </a:r>
              </a:p>
            </xdr:txBody>
          </xdr:sp>
          <xdr:sp macro="" textlink="">
            <xdr:nvSpPr>
              <xdr:cNvPr id="153" name="TextBox 199">
                <a:extLst>
                  <a:ext uri="{FF2B5EF4-FFF2-40B4-BE49-F238E27FC236}">
                    <a16:creationId xmlns:a16="http://schemas.microsoft.com/office/drawing/2014/main" xmlns="" id="{00000000-0008-0000-0700-000099000000}"/>
                  </a:ext>
                </a:extLst>
              </xdr:cNvPr>
              <xdr:cNvSpPr txBox="1"/>
            </xdr:nvSpPr>
            <xdr:spPr>
              <a:xfrm>
                <a:off x="9582757" y="3655965"/>
                <a:ext cx="1913426" cy="461665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9pPr>
              </a:lstStyle>
              <a:p>
                <a:pPr algn="ctr"/>
                <a:r>
                  <a:rPr lang="en-US" sz="2400" b="1">
                    <a:latin typeface="Tahoma"/>
                  </a:rPr>
                  <a:t>0%</a:t>
                </a:r>
              </a:p>
            </xdr:txBody>
          </xdr:sp>
          <xdr:cxnSp macro="">
            <xdr:nvCxnSpPr>
              <xdr:cNvPr id="154" name="Straight Connector 153">
                <a:extLst>
                  <a:ext uri="{FF2B5EF4-FFF2-40B4-BE49-F238E27FC236}">
                    <a16:creationId xmlns:a16="http://schemas.microsoft.com/office/drawing/2014/main" xmlns="" id="{00000000-0008-0000-0700-00009A000000}"/>
                  </a:ext>
                </a:extLst>
              </xdr:cNvPr>
              <xdr:cNvCxnSpPr/>
            </xdr:nvCxnSpPr>
            <xdr:spPr>
              <a:xfrm>
                <a:off x="9435420" y="3443605"/>
                <a:ext cx="0" cy="716085"/>
              </a:xfrm>
              <a:prstGeom prst="line">
                <a:avLst/>
              </a:prstGeom>
              <a:noFill/>
              <a:ln w="6350" cap="flat" cmpd="sng" algn="ctr">
                <a:solidFill>
                  <a:srgbClr val="002060"/>
                </a:solidFill>
                <a:prstDash val="dash"/>
                <a:miter lim="800000"/>
              </a:ln>
              <a:effectLst/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55" name="Rectangle 154">
                <a:extLst>
                  <a:ext uri="{FF2B5EF4-FFF2-40B4-BE49-F238E27FC236}">
                    <a16:creationId xmlns:a16="http://schemas.microsoft.com/office/drawing/2014/main" xmlns="" id="{00000000-0008-0000-0700-00009B000000}"/>
                  </a:ext>
                </a:extLst>
              </xdr:cNvPr>
              <xdr:cNvSpPr/>
            </xdr:nvSpPr>
            <xdr:spPr>
              <a:xfrm>
                <a:off x="7238864" y="4150217"/>
                <a:ext cx="2190885" cy="381787"/>
              </a:xfrm>
              <a:prstGeom prst="rect">
                <a:avLst/>
              </a:prstGeom>
              <a:noFill/>
              <a:ln w="12700" cap="flat" cmpd="sng" algn="ctr">
                <a:noFill/>
                <a:prstDash val="solid"/>
                <a:miter lim="800000"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ysClr val="window" lastClr="FFFFFF"/>
                    </a:solidFill>
                    <a:latin typeface="Tahoma"/>
                  </a:defRPr>
                </a:lvl9pPr>
              </a:lstStyle>
              <a:p>
                <a:pPr algn="ctr"/>
                <a:r>
                  <a:rPr lang="en-US" sz="1000">
                    <a:solidFill>
                      <a:sysClr val="windowText" lastClr="000000"/>
                    </a:solidFill>
                    <a:latin typeface="Tahoma"/>
                  </a:rPr>
                  <a:t>12+ months   </a:t>
                </a:r>
              </a:p>
            </xdr:txBody>
          </xdr:sp>
          <xdr:sp macro="" textlink="$C$9">
            <xdr:nvSpPr>
              <xdr:cNvPr id="156" name="TextBox 167">
                <a:extLst>
                  <a:ext uri="{FF2B5EF4-FFF2-40B4-BE49-F238E27FC236}">
                    <a16:creationId xmlns:a16="http://schemas.microsoft.com/office/drawing/2014/main" xmlns="" id="{00000000-0008-0000-0700-00009C000000}"/>
                  </a:ext>
                </a:extLst>
              </xdr:cNvPr>
              <xdr:cNvSpPr txBox="1"/>
            </xdr:nvSpPr>
            <xdr:spPr>
              <a:xfrm>
                <a:off x="7303820" y="3664985"/>
                <a:ext cx="2201448" cy="463259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wrap="square" lIns="36000" tIns="36000" rIns="36000" bIns="36000" rtlCol="0" anchor="ctr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ysClr val="windowText" lastClr="000000"/>
                    </a:solidFill>
                    <a:latin typeface="Tahoma"/>
                  </a:defRPr>
                </a:lvl9pPr>
              </a:lstStyle>
              <a:p>
                <a:pPr algn="ctr">
                  <a:defRPr/>
                </a:pPr>
                <a:fld id="{A0DE019E-5DEE-4B39-A002-A24646F5E2AC}" type="TxLink">
                  <a:rPr lang="en-US" sz="2400" b="1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pPr algn="ctr">
                    <a:defRPr/>
                  </a:pPr>
                  <a:t>#NAME?</a:t>
                </a:fld>
                <a:endParaRPr lang="en-US" sz="4800" b="1">
                  <a:solidFill>
                    <a:sysClr val="windowText" lastClr="000000"/>
                  </a:solidFill>
                  <a:latin typeface="Tahoma"/>
                </a:endParaRPr>
              </a:p>
            </xdr:txBody>
          </xdr:sp>
        </xdr:grpSp>
        <xdr:cxnSp macro="">
          <xdr:nvCxnSpPr>
            <xdr:cNvPr id="145" name="Straight Connector 144">
              <a:extLst>
                <a:ext uri="{FF2B5EF4-FFF2-40B4-BE49-F238E27FC236}">
                  <a16:creationId xmlns:a16="http://schemas.microsoft.com/office/drawing/2014/main" xmlns="" id="{00000000-0008-0000-0700-000091000000}"/>
                </a:ext>
              </a:extLst>
            </xdr:cNvPr>
            <xdr:cNvCxnSpPr>
              <a:cxnSpLocks/>
            </xdr:cNvCxnSpPr>
          </xdr:nvCxnSpPr>
          <xdr:spPr>
            <a:xfrm>
              <a:off x="354976" y="2902034"/>
              <a:ext cx="6734046" cy="35856"/>
            </a:xfrm>
            <a:prstGeom prst="line">
              <a:avLst/>
            </a:prstGeom>
            <a:noFill/>
            <a:ln w="76200" cap="flat" cmpd="sng" algn="ctr">
              <a:solidFill>
                <a:srgbClr val="78BE20"/>
              </a:solidFill>
              <a:prstDash val="solid"/>
            </a:ln>
            <a:effectLst/>
          </xdr:spPr>
        </xdr:cxnSp>
      </xdr:grpSp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xmlns="" id="{00000000-0008-0000-0700-00008B000000}"/>
              </a:ext>
            </a:extLst>
          </xdr:cNvPr>
          <xdr:cNvSpPr/>
        </xdr:nvSpPr>
        <xdr:spPr>
          <a:xfrm>
            <a:off x="4791609" y="4873965"/>
            <a:ext cx="2203757" cy="380870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9pPr>
          </a:lstStyle>
          <a:p>
            <a:pPr algn="ctr"/>
            <a:endParaRPr lang="en-US" sz="1500" b="1">
              <a:solidFill>
                <a:srgbClr val="0070C0"/>
              </a:solidFill>
            </a:endParaRPr>
          </a:p>
        </xdr:txBody>
      </xdr:sp>
      <xdr:cxnSp macro="">
        <xdr:nvCxnSpPr>
          <xdr:cNvPr id="140" name="Straight Connector 139">
            <a:extLst>
              <a:ext uri="{FF2B5EF4-FFF2-40B4-BE49-F238E27FC236}">
                <a16:creationId xmlns:a16="http://schemas.microsoft.com/office/drawing/2014/main" xmlns="" id="{00000000-0008-0000-0700-00008C000000}"/>
              </a:ext>
            </a:extLst>
          </xdr:cNvPr>
          <xdr:cNvCxnSpPr/>
        </xdr:nvCxnSpPr>
        <xdr:spPr>
          <a:xfrm>
            <a:off x="4791609" y="5045680"/>
            <a:ext cx="0" cy="716085"/>
          </a:xfrm>
          <a:prstGeom prst="line">
            <a:avLst/>
          </a:prstGeom>
          <a:noFill/>
          <a:ln w="6350" cap="flat" cmpd="sng" algn="ctr">
            <a:solidFill>
              <a:srgbClr val="002060"/>
            </a:solidFill>
            <a:prstDash val="dash"/>
            <a:miter lim="800000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1" name="Rectangle 140">
            <a:extLst>
              <a:ext uri="{FF2B5EF4-FFF2-40B4-BE49-F238E27FC236}">
                <a16:creationId xmlns:a16="http://schemas.microsoft.com/office/drawing/2014/main" xmlns="" id="{00000000-0008-0000-0700-00008D000000}"/>
              </a:ext>
            </a:extLst>
          </xdr:cNvPr>
          <xdr:cNvSpPr/>
        </xdr:nvSpPr>
        <xdr:spPr>
          <a:xfrm>
            <a:off x="4812888" y="4873965"/>
            <a:ext cx="2203757" cy="380870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9pPr>
          </a:lstStyle>
          <a:p>
            <a:pPr algn="ctr"/>
            <a:r>
              <a:rPr lang="en-US" sz="1400" b="1">
                <a:solidFill>
                  <a:srgbClr val="0070C0"/>
                </a:solidFill>
              </a:rPr>
              <a:t>Ideas shared with KP</a:t>
            </a:r>
          </a:p>
        </xdr:txBody>
      </xdr:sp>
      <xdr:sp macro="" textlink="">
        <xdr:nvSpPr>
          <xdr:cNvPr id="142" name="TextBox 72">
            <a:extLst>
              <a:ext uri="{FF2B5EF4-FFF2-40B4-BE49-F238E27FC236}">
                <a16:creationId xmlns:a16="http://schemas.microsoft.com/office/drawing/2014/main" xmlns="" id="{00000000-0008-0000-0700-00008E000000}"/>
              </a:ext>
            </a:extLst>
          </xdr:cNvPr>
          <xdr:cNvSpPr txBox="1"/>
        </xdr:nvSpPr>
        <xdr:spPr>
          <a:xfrm>
            <a:off x="5077579" y="5216699"/>
            <a:ext cx="1538070" cy="46166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Tahoma"/>
              </a:defRPr>
            </a:lvl9pPr>
          </a:lstStyle>
          <a:p>
            <a:pPr algn="ctr"/>
            <a:r>
              <a:rPr lang="en-US" sz="2400" b="1">
                <a:latin typeface="Tahoma"/>
              </a:rPr>
              <a:t>1*</a:t>
            </a:r>
          </a:p>
        </xdr:txBody>
      </xdr:sp>
      <xdr:sp macro="" textlink="">
        <xdr:nvSpPr>
          <xdr:cNvPr id="143" name="Rectangle 142">
            <a:extLst>
              <a:ext uri="{FF2B5EF4-FFF2-40B4-BE49-F238E27FC236}">
                <a16:creationId xmlns:a16="http://schemas.microsoft.com/office/drawing/2014/main" xmlns="" id="{00000000-0008-0000-0700-00008F000000}"/>
              </a:ext>
            </a:extLst>
          </xdr:cNvPr>
          <xdr:cNvSpPr/>
        </xdr:nvSpPr>
        <xdr:spPr>
          <a:xfrm>
            <a:off x="4832703" y="5740668"/>
            <a:ext cx="2225243" cy="352303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Tahoma"/>
              </a:defRPr>
            </a:lvl9pPr>
          </a:lstStyle>
          <a:p>
            <a:pPr algn="ctr"/>
            <a:r>
              <a:rPr lang="en-US" sz="1000">
                <a:solidFill>
                  <a:sysClr val="windowText" lastClr="000000"/>
                </a:solidFill>
                <a:cs typeface="Arial" panose="020B0604020202020204" pitchFamily="34" charset="0"/>
              </a:rPr>
              <a:t>* Dependency on software availability in VDI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66675</xdr:rowOff>
    </xdr:from>
    <xdr:to>
      <xdr:col>14</xdr:col>
      <xdr:colOff>360935</xdr:colOff>
      <xdr:row>30</xdr:row>
      <xdr:rowOff>109873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pSpPr/>
      </xdr:nvGrpSpPr>
      <xdr:grpSpPr>
        <a:xfrm>
          <a:off x="0" y="447675"/>
          <a:ext cx="9647810" cy="5377198"/>
          <a:chOff x="-134381" y="1127290"/>
          <a:chExt cx="9647810" cy="537719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xmlns="" id="{00000000-0008-0000-0800-000003000000}"/>
              </a:ext>
            </a:extLst>
          </xdr:cNvPr>
          <xdr:cNvSpPr/>
        </xdr:nvSpPr>
        <xdr:spPr>
          <a:xfrm>
            <a:off x="2626888" y="1127290"/>
            <a:ext cx="4368498" cy="1608668"/>
          </a:xfrm>
          <a:prstGeom prst="rect">
            <a:avLst/>
          </a:prstGeom>
          <a:solidFill>
            <a:schemeClr val="bg1">
              <a:lumMod val="95000"/>
            </a:schemeClr>
          </a:solidFill>
          <a:ln w="12700" cap="flat" cmpd="sng" algn="ctr">
            <a:noFill/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xdr:spPr>
        <xdr:txBody>
          <a:bodyPr spcFirstLastPara="0" vert="horz" wrap="square" lIns="93928" tIns="93928" rIns="93928" bIns="93928" numCol="1" spcCol="1270" anchor="t" anchorCtr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710898">
              <a:lnSpc>
                <a:spcPct val="90000"/>
              </a:lnSpc>
              <a:spcAft>
                <a:spcPct val="35000"/>
              </a:spcAft>
              <a:defRPr/>
            </a:pPr>
            <a:r>
              <a:rPr lang="en-IN" sz="1600" b="1" kern="0"/>
              <a:t>                          Access</a:t>
            </a:r>
            <a:r>
              <a:rPr lang="en-IN" sz="1600" b="1" kern="0">
                <a:solidFill>
                  <a:srgbClr val="FF9900"/>
                </a:solidFill>
                <a:latin typeface="Calibri" panose="020F0502020204030204" pitchFamily="34" charset="0"/>
              </a:rPr>
              <a:t> </a:t>
            </a:r>
            <a:r>
              <a:rPr lang="en-IN" sz="1600" b="1" kern="0"/>
              <a:t>Log</a:t>
            </a:r>
            <a:r>
              <a:rPr lang="en-IN" sz="1600" b="1" kern="0">
                <a:solidFill>
                  <a:srgbClr val="FF9900"/>
                </a:solidFill>
                <a:latin typeface="Calibri" panose="020F0502020204030204" pitchFamily="34" charset="0"/>
              </a:rPr>
              <a:t> </a:t>
            </a:r>
          </a:p>
          <a:p>
            <a:pPr algn="ctr" defTabSz="710898">
              <a:lnSpc>
                <a:spcPct val="90000"/>
              </a:lnSpc>
              <a:spcAft>
                <a:spcPct val="35000"/>
              </a:spcAft>
              <a:defRPr/>
            </a:pPr>
            <a:endParaRPr lang="en-IN" sz="1400" b="1" kern="0"/>
          </a:p>
          <a:p>
            <a:pPr defTabSz="710898">
              <a:lnSpc>
                <a:spcPct val="90000"/>
              </a:lnSpc>
              <a:spcAft>
                <a:spcPct val="35000"/>
              </a:spcAft>
              <a:defRPr/>
            </a:pPr>
            <a:endParaRPr lang="en-IN" sz="1400" b="1" i="1" kern="0">
              <a:solidFill>
                <a:prstClr val="white"/>
              </a:solidFill>
              <a:latin typeface="Calibri" panose="020F0502020204030204" pitchFamily="34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xmlns="" id="{00000000-0008-0000-0800-000004000000}"/>
              </a:ext>
            </a:extLst>
          </xdr:cNvPr>
          <xdr:cNvSpPr/>
        </xdr:nvSpPr>
        <xdr:spPr>
          <a:xfrm>
            <a:off x="2675177" y="2357781"/>
            <a:ext cx="2009372" cy="42295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>
                <a:solidFill>
                  <a:schemeClr val="tx1"/>
                </a:solidFill>
              </a:rPr>
              <a:t>98% - STD     98% - T’hold </a:t>
            </a:r>
          </a:p>
        </xdr:txBody>
      </xdr:sp>
      <xdr:sp macro="" textlink="C6">
        <xdr:nvSpPr>
          <xdr:cNvPr id="5" name="TextBox 144">
            <a:extLst>
              <a:ext uri="{FF2B5EF4-FFF2-40B4-BE49-F238E27FC236}">
                <a16:creationId xmlns:a16="http://schemas.microsoft.com/office/drawing/2014/main" xmlns="" id="{00000000-0008-0000-0800-000005000000}"/>
              </a:ext>
            </a:extLst>
          </xdr:cNvPr>
          <xdr:cNvSpPr txBox="1"/>
        </xdr:nvSpPr>
        <xdr:spPr>
          <a:xfrm>
            <a:off x="2934526" y="1793126"/>
            <a:ext cx="1538070" cy="46801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D0F6C6BE-B54D-44B6-BD59-C5B30C650042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#NAME?</a:t>
            </a:fld>
            <a:endParaRPr lang="en-US" sz="4800" b="1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xmlns="" id="{00000000-0008-0000-0800-000006000000}"/>
              </a:ext>
            </a:extLst>
          </xdr:cNvPr>
          <xdr:cNvSpPr/>
        </xdr:nvSpPr>
        <xdr:spPr>
          <a:xfrm>
            <a:off x="2850393" y="1471369"/>
            <a:ext cx="1622202" cy="3808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b="1">
                <a:solidFill>
                  <a:srgbClr val="0070C0"/>
                </a:solidFill>
              </a:rPr>
              <a:t>Retrieval</a:t>
            </a: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xmlns="" id="{00000000-0008-0000-0800-000007000000}"/>
              </a:ext>
            </a:extLst>
          </xdr:cNvPr>
          <xdr:cNvSpPr/>
        </xdr:nvSpPr>
        <xdr:spPr>
          <a:xfrm>
            <a:off x="5105775" y="1471369"/>
            <a:ext cx="1602883" cy="3808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b="1">
                <a:solidFill>
                  <a:srgbClr val="0070C0"/>
                </a:solidFill>
              </a:rPr>
              <a:t>Archival</a:t>
            </a:r>
          </a:p>
        </xdr:txBody>
      </xdr:sp>
      <xdr:sp macro="" textlink="C7">
        <xdr:nvSpPr>
          <xdr:cNvPr id="8" name="TextBox 147">
            <a:extLst>
              <a:ext uri="{FF2B5EF4-FFF2-40B4-BE49-F238E27FC236}">
                <a16:creationId xmlns:a16="http://schemas.microsoft.com/office/drawing/2014/main" xmlns="" id="{00000000-0008-0000-0800-000008000000}"/>
              </a:ext>
            </a:extLst>
          </xdr:cNvPr>
          <xdr:cNvSpPr txBox="1"/>
        </xdr:nvSpPr>
        <xdr:spPr>
          <a:xfrm>
            <a:off x="5121955" y="1793125"/>
            <a:ext cx="1579215" cy="46801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B656A5CC-9057-4199-80CA-FFD94D198C4A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#NAME?</a:t>
            </a:fld>
            <a:endParaRPr lang="en-US" sz="4800" b="1"/>
          </a:p>
        </xdr:txBody>
      </xdr: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xmlns="" id="{00000000-0008-0000-0800-000009000000}"/>
              </a:ext>
            </a:extLst>
          </xdr:cNvPr>
          <xdr:cNvCxnSpPr/>
        </xdr:nvCxnSpPr>
        <xdr:spPr>
          <a:xfrm>
            <a:off x="4791630" y="1637737"/>
            <a:ext cx="0" cy="716085"/>
          </a:xfrm>
          <a:prstGeom prst="line">
            <a:avLst/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xmlns="" id="{00000000-0008-0000-0800-00000A000000}"/>
              </a:ext>
            </a:extLst>
          </xdr:cNvPr>
          <xdr:cNvSpPr/>
        </xdr:nvSpPr>
        <xdr:spPr>
          <a:xfrm>
            <a:off x="4963460" y="2350676"/>
            <a:ext cx="1837781" cy="39917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>
                <a:solidFill>
                  <a:schemeClr val="tx1"/>
                </a:solidFill>
              </a:rPr>
              <a:t>98% - STD     98% - T’hold 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xmlns="" id="{00000000-0008-0000-0800-00000B000000}"/>
              </a:ext>
            </a:extLst>
          </xdr:cNvPr>
          <xdr:cNvSpPr/>
        </xdr:nvSpPr>
        <xdr:spPr>
          <a:xfrm>
            <a:off x="7122274" y="2984797"/>
            <a:ext cx="2164442" cy="1609344"/>
          </a:xfrm>
          <a:prstGeom prst="rect">
            <a:avLst/>
          </a:prstGeom>
          <a:solidFill>
            <a:schemeClr val="bg1">
              <a:lumMod val="95000"/>
            </a:schemeClr>
          </a:solidFill>
          <a:ln w="12700" cap="flat" cmpd="sng" algn="ctr">
            <a:noFill/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xdr:spPr>
        <xdr:txBody>
          <a:bodyPr spcFirstLastPara="0" vert="horz" wrap="square" lIns="93928" tIns="93928" rIns="93928" bIns="93928" numCol="1" spcCol="1270" anchor="t" anchorCtr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710898">
              <a:lnSpc>
                <a:spcPct val="90000"/>
              </a:lnSpc>
              <a:spcAft>
                <a:spcPct val="35000"/>
              </a:spcAft>
              <a:defRPr/>
            </a:pPr>
            <a:r>
              <a:rPr lang="en-IN" sz="1600" b="1" kern="0"/>
              <a:t>Security        Compliance</a:t>
            </a:r>
          </a:p>
          <a:p>
            <a:pPr defTabSz="710898">
              <a:lnSpc>
                <a:spcPct val="90000"/>
              </a:lnSpc>
              <a:spcAft>
                <a:spcPct val="35000"/>
              </a:spcAft>
              <a:defRPr/>
            </a:pPr>
            <a:endParaRPr lang="en-IN" sz="1400" b="1" i="1" kern="0">
              <a:solidFill>
                <a:prstClr val="white"/>
              </a:solidFill>
              <a:highlight>
                <a:srgbClr val="FFFF00"/>
              </a:highlight>
            </a:endParaRPr>
          </a:p>
        </xdr:txBody>
      </xdr:sp>
      <xdr:sp macro="" textlink="$C$15">
        <xdr:nvSpPr>
          <xdr:cNvPr id="12" name="TextBox 173">
            <a:extLst>
              <a:ext uri="{FF2B5EF4-FFF2-40B4-BE49-F238E27FC236}">
                <a16:creationId xmlns:a16="http://schemas.microsoft.com/office/drawing/2014/main" xmlns="" id="{00000000-0008-0000-0800-00000C000000}"/>
              </a:ext>
            </a:extLst>
          </xdr:cNvPr>
          <xdr:cNvSpPr txBox="1"/>
        </xdr:nvSpPr>
        <xdr:spPr>
          <a:xfrm>
            <a:off x="7396355" y="3683794"/>
            <a:ext cx="1538070" cy="4054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9190C7B1-3EDF-4233-8480-8380D936A425}" type="TxLink">
              <a:rPr lang="en-US" sz="2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#NAME?</a:t>
            </a:fld>
            <a:endParaRPr lang="en-US" sz="4400" b="1" baseline="30000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xmlns="" id="{00000000-0008-0000-0800-00000D000000}"/>
              </a:ext>
            </a:extLst>
          </xdr:cNvPr>
          <xdr:cNvSpPr/>
        </xdr:nvSpPr>
        <xdr:spPr>
          <a:xfrm>
            <a:off x="368444" y="4779062"/>
            <a:ext cx="4416120" cy="1624862"/>
          </a:xfrm>
          <a:prstGeom prst="rect">
            <a:avLst/>
          </a:prstGeom>
          <a:solidFill>
            <a:schemeClr val="bg1">
              <a:lumMod val="95000"/>
            </a:schemeClr>
          </a:solidFill>
          <a:ln w="12700" cap="flat" cmpd="sng" algn="ctr">
            <a:noFill/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xdr:spPr>
        <xdr:txBody>
          <a:bodyPr spcFirstLastPara="0" vert="horz" wrap="square" lIns="93928" tIns="93928" rIns="93928" bIns="93928" numCol="1" spcCol="1270" anchor="t" anchorCtr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710898">
              <a:lnSpc>
                <a:spcPct val="90000"/>
              </a:lnSpc>
              <a:spcAft>
                <a:spcPct val="35000"/>
              </a:spcAft>
              <a:defRPr/>
            </a:pPr>
            <a:r>
              <a:rPr lang="en-IN" sz="1600" b="1" kern="0"/>
              <a:t>               Incident</a:t>
            </a:r>
            <a:r>
              <a:rPr lang="en-IN" sz="1600" b="1" kern="0">
                <a:solidFill>
                  <a:srgbClr val="002060"/>
                </a:solidFill>
              </a:rPr>
              <a:t> </a:t>
            </a:r>
            <a:r>
              <a:rPr lang="en-IN" sz="1600" b="1" kern="0"/>
              <a:t>Management</a:t>
            </a:r>
          </a:p>
          <a:p>
            <a:pPr defTabSz="710898">
              <a:lnSpc>
                <a:spcPct val="90000"/>
              </a:lnSpc>
              <a:spcAft>
                <a:spcPct val="35000"/>
              </a:spcAft>
              <a:defRPr/>
            </a:pPr>
            <a:endParaRPr lang="en-IN" sz="1400" b="1" i="1" kern="0">
              <a:solidFill>
                <a:prstClr val="white"/>
              </a:solidFill>
            </a:endParaRPr>
          </a:p>
        </xdr:txBody>
      </xdr: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xmlns="" id="{00000000-0008-0000-0800-00000E000000}"/>
              </a:ext>
            </a:extLst>
          </xdr:cNvPr>
          <xdr:cNvCxnSpPr>
            <a:cxnSpLocks/>
          </xdr:cNvCxnSpPr>
        </xdr:nvCxnSpPr>
        <xdr:spPr>
          <a:xfrm>
            <a:off x="337990" y="4796829"/>
            <a:ext cx="4456532" cy="258"/>
          </a:xfrm>
          <a:prstGeom prst="line">
            <a:avLst/>
          </a:prstGeom>
          <a:noFill/>
          <a:ln w="76200" cap="flat" cmpd="sng" algn="ctr">
            <a:solidFill>
              <a:srgbClr val="92D050"/>
            </a:solidFill>
            <a:prstDash val="solid"/>
          </a:ln>
          <a:effectLst/>
        </xdr:spPr>
      </xdr:cxn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xmlns="" id="{00000000-0008-0000-0800-00000F000000}"/>
              </a:ext>
            </a:extLst>
          </xdr:cNvPr>
          <xdr:cNvSpPr/>
        </xdr:nvSpPr>
        <xdr:spPr>
          <a:xfrm>
            <a:off x="-134381" y="6043213"/>
            <a:ext cx="3223947" cy="3808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>
                <a:solidFill>
                  <a:schemeClr val="tx1"/>
                </a:solidFill>
              </a:rPr>
              <a:t>99% - STD     99% - T’hold </a:t>
            </a:r>
          </a:p>
        </xdr:txBody>
      </xdr:sp>
      <xdr:sp macro="" textlink="$C$16">
        <xdr:nvSpPr>
          <xdr:cNvPr id="16" name="TextBox 60">
            <a:extLst>
              <a:ext uri="{FF2B5EF4-FFF2-40B4-BE49-F238E27FC236}">
                <a16:creationId xmlns:a16="http://schemas.microsoft.com/office/drawing/2014/main" xmlns="" id="{00000000-0008-0000-0800-000010000000}"/>
              </a:ext>
            </a:extLst>
          </xdr:cNvPr>
          <xdr:cNvSpPr txBox="1"/>
        </xdr:nvSpPr>
        <xdr:spPr>
          <a:xfrm>
            <a:off x="948920" y="5450967"/>
            <a:ext cx="1194557" cy="468013"/>
          </a:xfrm>
          <a:prstGeom prst="rect">
            <a:avLst/>
          </a:prstGeom>
          <a:solidFill>
            <a:schemeClr val="bg1">
              <a:lumMod val="95000"/>
            </a:schemeClr>
          </a:solidFill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4A4478C4-19A2-423A-BF52-44A8EB77F2C3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#NAME?</a:t>
            </a:fld>
            <a:endParaRPr lang="en-US" sz="4800" b="1"/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xmlns="" id="{00000000-0008-0000-0800-000011000000}"/>
              </a:ext>
            </a:extLst>
          </xdr:cNvPr>
          <xdr:cNvSpPr/>
        </xdr:nvSpPr>
        <xdr:spPr>
          <a:xfrm>
            <a:off x="341321" y="1127290"/>
            <a:ext cx="2164442" cy="1592642"/>
          </a:xfrm>
          <a:prstGeom prst="rect">
            <a:avLst/>
          </a:prstGeom>
          <a:solidFill>
            <a:schemeClr val="bg1">
              <a:lumMod val="95000"/>
            </a:schemeClr>
          </a:solidFill>
          <a:ln w="12700" cap="flat" cmpd="sng" algn="ctr">
            <a:noFill/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xdr:spPr>
        <xdr:txBody>
          <a:bodyPr spcFirstLastPara="0" vert="horz" wrap="square" lIns="93928" tIns="93928" rIns="93928" bIns="93928" numCol="1" spcCol="1270" anchor="t" anchorCtr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710898">
              <a:lnSpc>
                <a:spcPct val="90000"/>
              </a:lnSpc>
              <a:spcAft>
                <a:spcPct val="35000"/>
              </a:spcAft>
              <a:defRPr/>
            </a:pPr>
            <a:r>
              <a:rPr lang="en-IN" sz="1600" b="1" kern="0"/>
              <a:t>Clarity ETL  Completion</a:t>
            </a:r>
          </a:p>
          <a:p>
            <a:pPr defTabSz="710898">
              <a:lnSpc>
                <a:spcPct val="90000"/>
              </a:lnSpc>
              <a:spcAft>
                <a:spcPct val="35000"/>
              </a:spcAft>
              <a:defRPr/>
            </a:pPr>
            <a:endParaRPr lang="en-IN" sz="1400" b="1" i="1" kern="0">
              <a:solidFill>
                <a:prstClr val="white"/>
              </a:solidFill>
            </a:endParaRPr>
          </a:p>
        </xdr:txBody>
      </xdr: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xmlns="" id="{00000000-0008-0000-0800-000012000000}"/>
              </a:ext>
            </a:extLst>
          </xdr:cNvPr>
          <xdr:cNvCxnSpPr>
            <a:cxnSpLocks/>
          </xdr:cNvCxnSpPr>
        </xdr:nvCxnSpPr>
        <xdr:spPr>
          <a:xfrm>
            <a:off x="338836" y="1144705"/>
            <a:ext cx="2184249" cy="253"/>
          </a:xfrm>
          <a:prstGeom prst="line">
            <a:avLst/>
          </a:prstGeom>
          <a:noFill/>
          <a:ln w="76200" cap="flat" cmpd="sng" algn="ctr">
            <a:solidFill>
              <a:srgbClr val="92D050"/>
            </a:solidFill>
            <a:prstDash val="solid"/>
          </a:ln>
          <a:effectLst/>
        </xdr:spPr>
      </xdr:cxn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xmlns="" id="{00000000-0008-0000-0800-000013000000}"/>
              </a:ext>
            </a:extLst>
          </xdr:cNvPr>
          <xdr:cNvSpPr/>
        </xdr:nvSpPr>
        <xdr:spPr>
          <a:xfrm>
            <a:off x="489585" y="2368979"/>
            <a:ext cx="1850485" cy="3509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>
                <a:solidFill>
                  <a:schemeClr val="tx1"/>
                </a:solidFill>
              </a:rPr>
              <a:t>93% - STD     93% - T’hold </a:t>
            </a:r>
          </a:p>
        </xdr:txBody>
      </xdr:sp>
      <xdr:sp macro="" textlink="C5">
        <xdr:nvSpPr>
          <xdr:cNvPr id="20" name="TextBox 65">
            <a:extLst>
              <a:ext uri="{FF2B5EF4-FFF2-40B4-BE49-F238E27FC236}">
                <a16:creationId xmlns:a16="http://schemas.microsoft.com/office/drawing/2014/main" xmlns="" id="{00000000-0008-0000-0800-000014000000}"/>
              </a:ext>
            </a:extLst>
          </xdr:cNvPr>
          <xdr:cNvSpPr txBox="1"/>
        </xdr:nvSpPr>
        <xdr:spPr>
          <a:xfrm>
            <a:off x="615570" y="1793126"/>
            <a:ext cx="1538070" cy="46801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6C22100A-A534-4ACE-A8B8-8D0045C8A6A6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#NAME?</a:t>
            </a:fld>
            <a:endParaRPr lang="en-US" sz="4800" b="1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xmlns="" id="{00000000-0008-0000-0800-000015000000}"/>
              </a:ext>
            </a:extLst>
          </xdr:cNvPr>
          <xdr:cNvSpPr/>
        </xdr:nvSpPr>
        <xdr:spPr>
          <a:xfrm>
            <a:off x="7123617" y="1142683"/>
            <a:ext cx="2164442" cy="1593275"/>
          </a:xfrm>
          <a:prstGeom prst="rect">
            <a:avLst/>
          </a:prstGeom>
          <a:solidFill>
            <a:schemeClr val="bg1">
              <a:lumMod val="95000"/>
            </a:schemeClr>
          </a:solidFill>
          <a:ln w="12700" cap="flat" cmpd="sng" algn="ctr">
            <a:noFill/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xdr:spPr>
        <xdr:txBody>
          <a:bodyPr spcFirstLastPara="0" vert="horz" wrap="square" lIns="93928" tIns="93928" rIns="93928" bIns="93928" numCol="1" spcCol="1270" anchor="t" anchorCtr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710898">
              <a:lnSpc>
                <a:spcPct val="90000"/>
              </a:lnSpc>
              <a:spcAft>
                <a:spcPct val="35000"/>
              </a:spcAft>
              <a:defRPr/>
            </a:pPr>
            <a:r>
              <a:rPr lang="en-IN" sz="1600" b="1" kern="0"/>
              <a:t>  SOX Compliance</a:t>
            </a:r>
          </a:p>
          <a:p>
            <a:pPr defTabSz="710898">
              <a:lnSpc>
                <a:spcPct val="90000"/>
              </a:lnSpc>
              <a:spcAft>
                <a:spcPct val="35000"/>
              </a:spcAft>
              <a:defRPr/>
            </a:pPr>
            <a:endParaRPr lang="en-IN" sz="1400" b="1" i="1" kern="0">
              <a:solidFill>
                <a:prstClr val="white"/>
              </a:solidFill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xmlns="" id="{00000000-0008-0000-0800-000016000000}"/>
              </a:ext>
            </a:extLst>
          </xdr:cNvPr>
          <xdr:cNvSpPr/>
        </xdr:nvSpPr>
        <xdr:spPr>
          <a:xfrm>
            <a:off x="7080152" y="2357781"/>
            <a:ext cx="2251805" cy="4032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>
                <a:solidFill>
                  <a:schemeClr val="tx1"/>
                </a:solidFill>
              </a:rPr>
              <a:t>100% - STD     100% - T’hold </a:t>
            </a:r>
          </a:p>
        </xdr:txBody>
      </xdr:sp>
      <xdr:sp macro="" textlink="C8">
        <xdr:nvSpPr>
          <xdr:cNvPr id="23" name="TextBox 72">
            <a:extLst>
              <a:ext uri="{FF2B5EF4-FFF2-40B4-BE49-F238E27FC236}">
                <a16:creationId xmlns:a16="http://schemas.microsoft.com/office/drawing/2014/main" xmlns="" id="{00000000-0008-0000-0800-000017000000}"/>
              </a:ext>
            </a:extLst>
          </xdr:cNvPr>
          <xdr:cNvSpPr txBox="1"/>
        </xdr:nvSpPr>
        <xdr:spPr>
          <a:xfrm>
            <a:off x="7366465" y="1793252"/>
            <a:ext cx="1538070" cy="46801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91DFCA8B-9E17-4E26-8522-E2350520FE41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#NAME?</a:t>
            </a:fld>
            <a:endParaRPr lang="en-US" sz="4800" b="1"/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xmlns="" id="{00000000-0008-0000-0800-000018000000}"/>
              </a:ext>
            </a:extLst>
          </xdr:cNvPr>
          <xdr:cNvSpPr/>
        </xdr:nvSpPr>
        <xdr:spPr>
          <a:xfrm>
            <a:off x="351500" y="2950687"/>
            <a:ext cx="6665538" cy="1680648"/>
          </a:xfrm>
          <a:prstGeom prst="rect">
            <a:avLst/>
          </a:prstGeom>
          <a:solidFill>
            <a:schemeClr val="bg1">
              <a:lumMod val="95000"/>
            </a:schemeClr>
          </a:solidFill>
          <a:ln w="12700" cap="flat" cmpd="sng" algn="ctr">
            <a:noFill/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xdr:spPr>
        <xdr:txBody>
          <a:bodyPr spcFirstLastPara="0" vert="horz" wrap="square" lIns="93928" tIns="93928" rIns="93928" bIns="93928" numCol="1" spcCol="1270" anchor="t" anchorCtr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710898">
              <a:lnSpc>
                <a:spcPct val="90000"/>
              </a:lnSpc>
              <a:spcAft>
                <a:spcPct val="35000"/>
              </a:spcAft>
              <a:defRPr/>
            </a:pPr>
            <a:r>
              <a:rPr lang="en-IN" sz="1600" b="1" kern="0"/>
              <a:t>                                       People Management</a:t>
            </a:r>
          </a:p>
          <a:p>
            <a:pPr defTabSz="710898">
              <a:lnSpc>
                <a:spcPct val="90000"/>
              </a:lnSpc>
              <a:spcAft>
                <a:spcPct val="35000"/>
              </a:spcAft>
              <a:defRPr/>
            </a:pPr>
            <a:endParaRPr lang="en-IN" sz="1600" b="1" kern="0"/>
          </a:p>
          <a:p>
            <a:pPr algn="ctr" defTabSz="710898">
              <a:lnSpc>
                <a:spcPct val="90000"/>
              </a:lnSpc>
              <a:spcAft>
                <a:spcPct val="35000"/>
              </a:spcAft>
              <a:defRPr/>
            </a:pPr>
            <a:endParaRPr lang="en-IN" sz="1400" b="1" i="1" kern="0">
              <a:solidFill>
                <a:prstClr val="white"/>
              </a:solidFill>
              <a:latin typeface="Calibri" panose="020F0502020204030204" pitchFamily="34" charset="0"/>
            </a:endParaRPr>
          </a:p>
          <a:p>
            <a:pPr defTabSz="710898">
              <a:lnSpc>
                <a:spcPct val="90000"/>
              </a:lnSpc>
              <a:spcAft>
                <a:spcPct val="35000"/>
              </a:spcAft>
              <a:defRPr/>
            </a:pPr>
            <a:endParaRPr lang="en-IN" sz="1400" b="1" i="1" kern="0">
              <a:solidFill>
                <a:prstClr val="white"/>
              </a:solidFill>
              <a:latin typeface="Calibri" panose="020F0502020204030204" pitchFamily="34" charset="0"/>
            </a:endParaRPr>
          </a:p>
        </xdr:txBody>
      </xdr:sp>
      <xdr:cxnSp macro="">
        <xdr:nvCxnSpPr>
          <xdr:cNvPr id="25" name="Straight Connector 24">
            <a:extLst>
              <a:ext uri="{FF2B5EF4-FFF2-40B4-BE49-F238E27FC236}">
                <a16:creationId xmlns:a16="http://schemas.microsoft.com/office/drawing/2014/main" xmlns="" id="{00000000-0008-0000-0800-000019000000}"/>
              </a:ext>
            </a:extLst>
          </xdr:cNvPr>
          <xdr:cNvCxnSpPr>
            <a:cxnSpLocks/>
          </xdr:cNvCxnSpPr>
        </xdr:nvCxnSpPr>
        <xdr:spPr>
          <a:xfrm>
            <a:off x="351500" y="2973332"/>
            <a:ext cx="6665538" cy="0"/>
          </a:xfrm>
          <a:prstGeom prst="line">
            <a:avLst/>
          </a:prstGeom>
          <a:noFill/>
          <a:ln w="76200" cap="flat" cmpd="sng" algn="ctr">
            <a:solidFill>
              <a:srgbClr val="92D050"/>
            </a:solidFill>
            <a:prstDash val="solid"/>
          </a:ln>
          <a:effectLst/>
        </xdr:spPr>
      </xdr:cxnSp>
      <xdr:sp macro="" textlink="$C$9">
        <xdr:nvSpPr>
          <xdr:cNvPr id="26" name="TextBox 192">
            <a:extLst>
              <a:ext uri="{FF2B5EF4-FFF2-40B4-BE49-F238E27FC236}">
                <a16:creationId xmlns:a16="http://schemas.microsoft.com/office/drawing/2014/main" xmlns="" id="{00000000-0008-0000-0800-00001A000000}"/>
              </a:ext>
            </a:extLst>
          </xdr:cNvPr>
          <xdr:cNvSpPr txBox="1"/>
        </xdr:nvSpPr>
        <xdr:spPr>
          <a:xfrm>
            <a:off x="424726" y="3695906"/>
            <a:ext cx="2565646" cy="342786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4129D2B4-6955-46E4-A997-D260632E6606}" type="TxLink">
              <a:rPr lang="en-US" sz="16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#NAME?</a:t>
            </a:fld>
            <a:endParaRPr lang="en-US" sz="2800" b="1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xmlns="" id="{00000000-0008-0000-0800-00001B000000}"/>
              </a:ext>
            </a:extLst>
          </xdr:cNvPr>
          <xdr:cNvSpPr/>
        </xdr:nvSpPr>
        <xdr:spPr>
          <a:xfrm>
            <a:off x="948578" y="3285359"/>
            <a:ext cx="1551044" cy="3808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b="1">
                <a:solidFill>
                  <a:srgbClr val="0070C0"/>
                </a:solidFill>
              </a:rPr>
              <a:t>Certification</a:t>
            </a: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xmlns="" id="{00000000-0008-0000-0800-00001C000000}"/>
              </a:ext>
            </a:extLst>
          </xdr:cNvPr>
          <xdr:cNvSpPr/>
        </xdr:nvSpPr>
        <xdr:spPr>
          <a:xfrm>
            <a:off x="3264859" y="3302924"/>
            <a:ext cx="1624313" cy="3808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b="1">
                <a:solidFill>
                  <a:srgbClr val="0070C0"/>
                </a:solidFill>
              </a:rPr>
              <a:t>Staffing Tenure</a:t>
            </a:r>
          </a:p>
        </xdr:txBody>
      </xdr: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xmlns="" id="{00000000-0008-0000-0800-00001D000000}"/>
              </a:ext>
            </a:extLst>
          </xdr:cNvPr>
          <xdr:cNvCxnSpPr/>
        </xdr:nvCxnSpPr>
        <xdr:spPr>
          <a:xfrm>
            <a:off x="3139526" y="3484421"/>
            <a:ext cx="0" cy="716085"/>
          </a:xfrm>
          <a:prstGeom prst="line">
            <a:avLst/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xmlns="" id="{00000000-0008-0000-0800-00001E000000}"/>
              </a:ext>
            </a:extLst>
          </xdr:cNvPr>
          <xdr:cNvSpPr/>
        </xdr:nvSpPr>
        <xdr:spPr>
          <a:xfrm>
            <a:off x="5331187" y="3302924"/>
            <a:ext cx="1624313" cy="3808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b="1">
                <a:solidFill>
                  <a:srgbClr val="0070C0"/>
                </a:solidFill>
              </a:rPr>
              <a:t>Attrition</a:t>
            </a:r>
          </a:p>
        </xdr:txBody>
      </xdr:sp>
      <xdr:sp macro="" textlink="C14">
        <xdr:nvSpPr>
          <xdr:cNvPr id="31" name="TextBox 199">
            <a:extLst>
              <a:ext uri="{FF2B5EF4-FFF2-40B4-BE49-F238E27FC236}">
                <a16:creationId xmlns:a16="http://schemas.microsoft.com/office/drawing/2014/main" xmlns="" id="{00000000-0008-0000-0800-00001F000000}"/>
              </a:ext>
            </a:extLst>
          </xdr:cNvPr>
          <xdr:cNvSpPr txBox="1"/>
        </xdr:nvSpPr>
        <xdr:spPr>
          <a:xfrm>
            <a:off x="5395058" y="3624069"/>
            <a:ext cx="1600328" cy="46801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35353514-8218-4FBA-9C45-6730F1078A68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#NAME?</a:t>
            </a:fld>
            <a:endParaRPr lang="en-US" sz="4800" b="1"/>
          </a:p>
        </xdr:txBody>
      </xdr:sp>
      <xdr:cxnSp macro="">
        <xdr:nvCxnSpPr>
          <xdr:cNvPr id="32" name="Straight Connector 31">
            <a:extLst>
              <a:ext uri="{FF2B5EF4-FFF2-40B4-BE49-F238E27FC236}">
                <a16:creationId xmlns:a16="http://schemas.microsoft.com/office/drawing/2014/main" xmlns="" id="{00000000-0008-0000-0800-000020000000}"/>
              </a:ext>
            </a:extLst>
          </xdr:cNvPr>
          <xdr:cNvCxnSpPr/>
        </xdr:nvCxnSpPr>
        <xdr:spPr>
          <a:xfrm>
            <a:off x="5289675" y="3502188"/>
            <a:ext cx="0" cy="716085"/>
          </a:xfrm>
          <a:prstGeom prst="line">
            <a:avLst/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xmlns="" id="{00000000-0008-0000-0800-000021000000}"/>
              </a:ext>
            </a:extLst>
          </xdr:cNvPr>
          <xdr:cNvSpPr/>
        </xdr:nvSpPr>
        <xdr:spPr>
          <a:xfrm>
            <a:off x="3085883" y="4194892"/>
            <a:ext cx="2178787" cy="42935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000">
                <a:solidFill>
                  <a:schemeClr val="tx1"/>
                </a:solidFill>
              </a:rPr>
              <a:t>     12+ month </a:t>
            </a:r>
          </a:p>
        </xdr:txBody>
      </xdr:sp>
      <xdr:sp macro="" textlink="C13">
        <xdr:nvSpPr>
          <xdr:cNvPr id="34" name="TextBox 167">
            <a:extLst>
              <a:ext uri="{FF2B5EF4-FFF2-40B4-BE49-F238E27FC236}">
                <a16:creationId xmlns:a16="http://schemas.microsoft.com/office/drawing/2014/main" xmlns="" id="{00000000-0008-0000-0800-000022000000}"/>
              </a:ext>
            </a:extLst>
          </xdr:cNvPr>
          <xdr:cNvSpPr txBox="1"/>
        </xdr:nvSpPr>
        <xdr:spPr>
          <a:xfrm>
            <a:off x="3819322" y="3467946"/>
            <a:ext cx="1056447" cy="824063"/>
          </a:xfrm>
          <a:prstGeom prst="rect">
            <a:avLst/>
          </a:prstGeom>
          <a:ln>
            <a:noFill/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wrap="square" lIns="36000" tIns="36000" rIns="36000" bIns="36000" rtlCol="0" anchor="ctr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defRPr/>
            </a:pPr>
            <a:fld id="{844A4116-6D8C-4948-A4B5-C6A2983127B6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>
                <a:defRPr/>
              </a:pPr>
              <a:t>#NAME?</a:t>
            </a:fld>
            <a:endParaRPr lang="en-US" sz="4800" b="1">
              <a:solidFill>
                <a:schemeClr val="tx1"/>
              </a:solidFill>
              <a:latin typeface="+mn-lt"/>
            </a:endParaRP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xmlns="" id="{00000000-0008-0000-0800-000023000000}"/>
              </a:ext>
            </a:extLst>
          </xdr:cNvPr>
          <xdr:cNvSpPr/>
        </xdr:nvSpPr>
        <xdr:spPr>
          <a:xfrm>
            <a:off x="615570" y="4180450"/>
            <a:ext cx="2534023" cy="3808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800">
                <a:solidFill>
                  <a:schemeClr val="tx1"/>
                </a:solidFill>
              </a:rPr>
              <a:t>   Epic               Teradata            Exadata</a:t>
            </a:r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xmlns="" id="{00000000-0008-0000-0800-000024000000}"/>
              </a:ext>
            </a:extLst>
          </xdr:cNvPr>
          <xdr:cNvSpPr/>
        </xdr:nvSpPr>
        <xdr:spPr>
          <a:xfrm>
            <a:off x="4903623" y="4739996"/>
            <a:ext cx="4368498" cy="1655831"/>
          </a:xfrm>
          <a:prstGeom prst="rect">
            <a:avLst/>
          </a:prstGeom>
          <a:solidFill>
            <a:schemeClr val="bg1">
              <a:lumMod val="95000"/>
            </a:schemeClr>
          </a:solidFill>
          <a:ln w="12700" cap="flat" cmpd="sng" algn="ctr">
            <a:noFill/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xdr:spPr>
        <xdr:txBody>
          <a:bodyPr spcFirstLastPara="0" vert="horz" wrap="square" lIns="93928" tIns="93928" rIns="93928" bIns="93928" numCol="1" spcCol="1270" anchor="t" anchorCtr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710898">
              <a:lnSpc>
                <a:spcPct val="90000"/>
              </a:lnSpc>
              <a:spcAft>
                <a:spcPct val="35000"/>
              </a:spcAft>
              <a:defRPr/>
            </a:pPr>
            <a:r>
              <a:rPr lang="en-IN" sz="1600" b="1" kern="0"/>
              <a:t>                Continuous</a:t>
            </a:r>
            <a:r>
              <a:rPr lang="en-IN" sz="1600" b="1" kern="0">
                <a:solidFill>
                  <a:srgbClr val="7030A0"/>
                </a:solidFill>
                <a:latin typeface="Calibri" panose="020F0502020204030204" pitchFamily="34" charset="0"/>
              </a:rPr>
              <a:t> </a:t>
            </a:r>
            <a:r>
              <a:rPr lang="en-IN" sz="1600" b="1" kern="0"/>
              <a:t>Improvements</a:t>
            </a:r>
          </a:p>
          <a:p>
            <a:pPr algn="ctr" defTabSz="710898">
              <a:lnSpc>
                <a:spcPct val="90000"/>
              </a:lnSpc>
              <a:spcAft>
                <a:spcPct val="35000"/>
              </a:spcAft>
              <a:defRPr/>
            </a:pPr>
            <a:endParaRPr lang="en-IN" sz="1400" b="1" i="1" kern="0">
              <a:solidFill>
                <a:prstClr val="white"/>
              </a:solidFill>
              <a:latin typeface="Calibri" panose="020F0502020204030204" pitchFamily="34" charset="0"/>
            </a:endParaRPr>
          </a:p>
          <a:p>
            <a:pPr defTabSz="710898">
              <a:lnSpc>
                <a:spcPct val="90000"/>
              </a:lnSpc>
              <a:spcAft>
                <a:spcPct val="35000"/>
              </a:spcAft>
              <a:defRPr/>
            </a:pPr>
            <a:endParaRPr lang="en-IN" sz="1400" b="1" i="1" kern="0">
              <a:solidFill>
                <a:prstClr val="white"/>
              </a:solidFill>
              <a:latin typeface="Calibri" panose="020F0502020204030204" pitchFamily="34" charset="0"/>
            </a:endParaRPr>
          </a:p>
        </xdr:txBody>
      </xdr:sp>
      <xdr:cxnSp macro="">
        <xdr:nvCxnSpPr>
          <xdr:cNvPr id="37" name="Straight Connector 36">
            <a:extLst>
              <a:ext uri="{FF2B5EF4-FFF2-40B4-BE49-F238E27FC236}">
                <a16:creationId xmlns:a16="http://schemas.microsoft.com/office/drawing/2014/main" xmlns="" id="{00000000-0008-0000-0800-000025000000}"/>
              </a:ext>
            </a:extLst>
          </xdr:cNvPr>
          <xdr:cNvCxnSpPr>
            <a:cxnSpLocks/>
          </xdr:cNvCxnSpPr>
        </xdr:nvCxnSpPr>
        <xdr:spPr>
          <a:xfrm flipV="1">
            <a:off x="4866543" y="4795376"/>
            <a:ext cx="4398952" cy="5818"/>
          </a:xfrm>
          <a:prstGeom prst="line">
            <a:avLst/>
          </a:prstGeom>
          <a:noFill/>
          <a:ln w="76200" cap="flat" cmpd="sng" algn="ctr">
            <a:solidFill>
              <a:srgbClr val="92D050"/>
            </a:solidFill>
            <a:prstDash val="solid"/>
          </a:ln>
          <a:effectLst/>
        </xdr:spPr>
      </xdr:cxn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xmlns="" id="{00000000-0008-0000-0800-000026000000}"/>
              </a:ext>
            </a:extLst>
          </xdr:cNvPr>
          <xdr:cNvSpPr/>
        </xdr:nvSpPr>
        <xdr:spPr>
          <a:xfrm>
            <a:off x="4903623" y="5131238"/>
            <a:ext cx="1963367" cy="46166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b="1">
                <a:solidFill>
                  <a:srgbClr val="0070C0"/>
                </a:solidFill>
              </a:rPr>
              <a:t>Implemented</a:t>
            </a:r>
            <a:r>
              <a:rPr lang="en-US" sz="1600" b="1">
                <a:solidFill>
                  <a:srgbClr val="0070C0"/>
                </a:solidFill>
              </a:rPr>
              <a:t> </a:t>
            </a:r>
          </a:p>
          <a:p>
            <a:endParaRPr lang="en-US" sz="1000">
              <a:solidFill>
                <a:schemeClr val="tx1"/>
              </a:solidFill>
            </a:endParaRPr>
          </a:p>
          <a:p>
            <a:endParaRPr lang="en-US" sz="1000">
              <a:solidFill>
                <a:schemeClr val="tx1"/>
              </a:solidFill>
            </a:endParaRPr>
          </a:p>
          <a:p>
            <a:pPr algn="ctr"/>
            <a:endParaRPr lang="en-US" sz="1600" b="1" kern="0">
              <a:solidFill>
                <a:schemeClr val="tx1"/>
              </a:solidFill>
            </a:endParaRPr>
          </a:p>
        </xdr:txBody>
      </xdr:sp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xmlns="" id="{00000000-0008-0000-0800-000027000000}"/>
              </a:ext>
            </a:extLst>
          </xdr:cNvPr>
          <xdr:cNvSpPr/>
        </xdr:nvSpPr>
        <xdr:spPr>
          <a:xfrm>
            <a:off x="6916171" y="5138081"/>
            <a:ext cx="2438658" cy="34212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b="1">
                <a:solidFill>
                  <a:srgbClr val="0070C0"/>
                </a:solidFill>
              </a:rPr>
              <a:t>Manual Effort Eliminated</a:t>
            </a:r>
          </a:p>
        </xdr:txBody>
      </xdr:sp>
      <xdr:sp macro="" textlink="$C$19">
        <xdr:nvSpPr>
          <xdr:cNvPr id="40" name="TextBox 186">
            <a:extLst>
              <a:ext uri="{FF2B5EF4-FFF2-40B4-BE49-F238E27FC236}">
                <a16:creationId xmlns:a16="http://schemas.microsoft.com/office/drawing/2014/main" xmlns="" id="{00000000-0008-0000-0800-000028000000}"/>
              </a:ext>
            </a:extLst>
          </xdr:cNvPr>
          <xdr:cNvSpPr txBox="1"/>
        </xdr:nvSpPr>
        <xdr:spPr>
          <a:xfrm>
            <a:off x="7485318" y="5156365"/>
            <a:ext cx="1381426" cy="419100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 sz="2000" b="1" i="0" u="none" strike="noStrike">
              <a:solidFill>
                <a:srgbClr val="000000"/>
              </a:solidFill>
              <a:latin typeface="Calibri"/>
              <a:cs typeface="Calibri"/>
            </a:endParaRPr>
          </a:p>
          <a:p>
            <a:fld id="{B70F7050-5BA2-45B5-9901-5E784788B6B2}" type="TxLink">
              <a:rPr lang="en-US" sz="2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3260 Hrs</a:t>
            </a:fld>
            <a:endParaRPr lang="en-US" sz="3600" b="1">
              <a:latin typeface="+mn-lt"/>
            </a:endParaRPr>
          </a:p>
        </xdr:txBody>
      </xdr: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xmlns="" id="{00000000-0008-0000-0800-000029000000}"/>
              </a:ext>
            </a:extLst>
          </xdr:cNvPr>
          <xdr:cNvCxnSpPr/>
        </xdr:nvCxnSpPr>
        <xdr:spPr>
          <a:xfrm>
            <a:off x="6888222" y="5298525"/>
            <a:ext cx="0" cy="716085"/>
          </a:xfrm>
          <a:prstGeom prst="line">
            <a:avLst/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xmlns="" id="{00000000-0008-0000-0800-00002A000000}"/>
              </a:ext>
            </a:extLst>
          </xdr:cNvPr>
          <xdr:cNvSpPr/>
        </xdr:nvSpPr>
        <xdr:spPr>
          <a:xfrm>
            <a:off x="2031521" y="6043213"/>
            <a:ext cx="3223947" cy="3808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800">
                <a:solidFill>
                  <a:schemeClr val="tx1"/>
                </a:solidFill>
              </a:rPr>
              <a:t>98% - STD     98% - T’hold </a:t>
            </a:r>
          </a:p>
        </xdr:txBody>
      </xdr: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xmlns="" id="{00000000-0008-0000-0800-00002B000000}"/>
              </a:ext>
            </a:extLst>
          </xdr:cNvPr>
          <xdr:cNvCxnSpPr/>
        </xdr:nvCxnSpPr>
        <xdr:spPr>
          <a:xfrm>
            <a:off x="2527401" y="5298525"/>
            <a:ext cx="0" cy="716085"/>
          </a:xfrm>
          <a:prstGeom prst="line">
            <a:avLst/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C$17">
        <xdr:nvSpPr>
          <xdr:cNvPr id="44" name="TextBox 77">
            <a:extLst>
              <a:ext uri="{FF2B5EF4-FFF2-40B4-BE49-F238E27FC236}">
                <a16:creationId xmlns:a16="http://schemas.microsoft.com/office/drawing/2014/main" xmlns="" id="{00000000-0008-0000-0800-00002C000000}"/>
              </a:ext>
            </a:extLst>
          </xdr:cNvPr>
          <xdr:cNvSpPr txBox="1"/>
        </xdr:nvSpPr>
        <xdr:spPr>
          <a:xfrm>
            <a:off x="3064215" y="5455500"/>
            <a:ext cx="1194557" cy="468013"/>
          </a:xfrm>
          <a:prstGeom prst="rect">
            <a:avLst/>
          </a:prstGeom>
          <a:solidFill>
            <a:schemeClr val="bg1">
              <a:lumMod val="95000"/>
            </a:schemeClr>
          </a:solidFill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0EF81578-1605-422E-A5BA-8D6C4046C6E1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#NAME?</a:t>
            </a:fld>
            <a:endParaRPr lang="en-US" sz="4800" b="1"/>
          </a:p>
        </xdr:txBody>
      </xdr: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xmlns="" id="{00000000-0008-0000-0800-00002D000000}"/>
              </a:ext>
            </a:extLst>
          </xdr:cNvPr>
          <xdr:cNvSpPr/>
        </xdr:nvSpPr>
        <xdr:spPr>
          <a:xfrm>
            <a:off x="724945" y="5125962"/>
            <a:ext cx="1551044" cy="3808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b="1">
                <a:solidFill>
                  <a:srgbClr val="0070C0"/>
                </a:solidFill>
              </a:rPr>
              <a:t>Critical</a:t>
            </a:r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xmlns="" id="{00000000-0008-0000-0800-00002E000000}"/>
              </a:ext>
            </a:extLst>
          </xdr:cNvPr>
          <xdr:cNvSpPr/>
        </xdr:nvSpPr>
        <xdr:spPr>
          <a:xfrm>
            <a:off x="2872372" y="5131238"/>
            <a:ext cx="1551044" cy="3808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400" b="1">
                <a:solidFill>
                  <a:srgbClr val="0070C0"/>
                </a:solidFill>
              </a:rPr>
              <a:t>High</a:t>
            </a:r>
          </a:p>
        </xdr:txBody>
      </xdr:sp>
      <xdr:sp macro="" textlink="">
        <xdr:nvSpPr>
          <xdr:cNvPr id="47" name="TextBox 4">
            <a:extLst>
              <a:ext uri="{FF2B5EF4-FFF2-40B4-BE49-F238E27FC236}">
                <a16:creationId xmlns:a16="http://schemas.microsoft.com/office/drawing/2014/main" xmlns="" id="{00000000-0008-0000-0800-00002F000000}"/>
              </a:ext>
            </a:extLst>
          </xdr:cNvPr>
          <xdr:cNvSpPr txBox="1"/>
        </xdr:nvSpPr>
        <xdr:spPr>
          <a:xfrm>
            <a:off x="7388588" y="4256308"/>
            <a:ext cx="2124841" cy="24622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000"/>
              <a:t>*Account wide score</a:t>
            </a:r>
          </a:p>
        </xdr:txBody>
      </xdr:sp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xmlns="" id="{00000000-0008-0000-0800-000030000000}"/>
              </a:ext>
            </a:extLst>
          </xdr:cNvPr>
          <xdr:cNvCxnSpPr>
            <a:cxnSpLocks/>
          </xdr:cNvCxnSpPr>
        </xdr:nvCxnSpPr>
        <xdr:spPr>
          <a:xfrm>
            <a:off x="2618086" y="1147618"/>
            <a:ext cx="4398952" cy="22671"/>
          </a:xfrm>
          <a:prstGeom prst="line">
            <a:avLst/>
          </a:prstGeom>
          <a:noFill/>
          <a:ln w="76200" cap="flat" cmpd="sng" algn="ctr">
            <a:solidFill>
              <a:srgbClr val="92D050"/>
            </a:solidFill>
            <a:prstDash val="solid"/>
          </a:ln>
          <a:effectLst/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xmlns="" id="{00000000-0008-0000-0800-000031000000}"/>
              </a:ext>
            </a:extLst>
          </xdr:cNvPr>
          <xdr:cNvCxnSpPr>
            <a:cxnSpLocks/>
          </xdr:cNvCxnSpPr>
        </xdr:nvCxnSpPr>
        <xdr:spPr>
          <a:xfrm>
            <a:off x="7106534" y="2973172"/>
            <a:ext cx="2184249" cy="253"/>
          </a:xfrm>
          <a:prstGeom prst="line">
            <a:avLst/>
          </a:prstGeom>
          <a:noFill/>
          <a:ln w="76200" cap="flat" cmpd="sng" algn="ctr">
            <a:solidFill>
              <a:srgbClr val="92D050"/>
            </a:solidFill>
            <a:prstDash val="solid"/>
          </a:ln>
          <a:effectLst/>
        </xdr:spPr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xmlns="" id="{00000000-0008-0000-0800-000032000000}"/>
              </a:ext>
            </a:extLst>
          </xdr:cNvPr>
          <xdr:cNvCxnSpPr>
            <a:cxnSpLocks/>
          </xdr:cNvCxnSpPr>
        </xdr:nvCxnSpPr>
        <xdr:spPr>
          <a:xfrm>
            <a:off x="7108520" y="1169357"/>
            <a:ext cx="2184249" cy="258"/>
          </a:xfrm>
          <a:prstGeom prst="line">
            <a:avLst/>
          </a:prstGeom>
          <a:noFill/>
          <a:ln w="76200" cap="flat" cmpd="sng" algn="ctr">
            <a:solidFill>
              <a:srgbClr val="92D050"/>
            </a:solidFill>
            <a:prstDash val="solid"/>
          </a:ln>
          <a:effectLst/>
        </xdr:spPr>
      </xdr:cxnSp>
      <xdr:sp macro="" textlink="">
        <xdr:nvSpPr>
          <xdr:cNvPr id="51" name="TextBox 6">
            <a:extLst>
              <a:ext uri="{FF2B5EF4-FFF2-40B4-BE49-F238E27FC236}">
                <a16:creationId xmlns:a16="http://schemas.microsoft.com/office/drawing/2014/main" xmlns="" id="{00000000-0008-0000-0800-000033000000}"/>
              </a:ext>
            </a:extLst>
          </xdr:cNvPr>
          <xdr:cNvSpPr txBox="1"/>
        </xdr:nvSpPr>
        <xdr:spPr>
          <a:xfrm>
            <a:off x="4963460" y="6104378"/>
            <a:ext cx="4180572" cy="4001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000"/>
              <a:t>25 Generated / 2 planned for Feb</a:t>
            </a:r>
          </a:p>
          <a:p>
            <a:pPr algn="ctr"/>
            <a:endParaRPr lang="en-US" sz="1000"/>
          </a:p>
        </xdr:txBody>
      </xdr:sp>
      <xdr:sp macro="" textlink="$C$18">
        <xdr:nvSpPr>
          <xdr:cNvPr id="52" name="TextBox 54">
            <a:extLst>
              <a:ext uri="{FF2B5EF4-FFF2-40B4-BE49-F238E27FC236}">
                <a16:creationId xmlns:a16="http://schemas.microsoft.com/office/drawing/2014/main" xmlns="" id="{00000000-0008-0000-0800-000034000000}"/>
              </a:ext>
            </a:extLst>
          </xdr:cNvPr>
          <xdr:cNvSpPr txBox="1"/>
        </xdr:nvSpPr>
        <xdr:spPr>
          <a:xfrm>
            <a:off x="5285071" y="5450967"/>
            <a:ext cx="1194557" cy="468013"/>
          </a:xfrm>
          <a:prstGeom prst="rect">
            <a:avLst/>
          </a:prstGeom>
          <a:solidFill>
            <a:schemeClr val="bg1">
              <a:lumMod val="95000"/>
            </a:schemeClr>
          </a:solidFill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CB55C5D9-C399-4BB1-9789-FA8015DFA13E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#NAME?</a:t>
            </a:fld>
            <a:endParaRPr lang="en-US" sz="4800" b="1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57150</xdr:rowOff>
    </xdr:from>
    <xdr:to>
      <xdr:col>18</xdr:col>
      <xdr:colOff>555731</xdr:colOff>
      <xdr:row>28</xdr:row>
      <xdr:rowOff>7748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0" y="628650"/>
          <a:ext cx="11595206" cy="4713098"/>
          <a:chOff x="205238" y="1039246"/>
          <a:chExt cx="11595206" cy="471309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xmlns="" id="{00000000-0008-0000-0900-000003000000}"/>
              </a:ext>
            </a:extLst>
          </xdr:cNvPr>
          <xdr:cNvSpPr/>
        </xdr:nvSpPr>
        <xdr:spPr>
          <a:xfrm>
            <a:off x="6059053" y="1059185"/>
            <a:ext cx="5632046" cy="1390219"/>
          </a:xfrm>
          <a:prstGeom prst="rect">
            <a:avLst/>
          </a:prstGeom>
          <a:solidFill>
            <a:schemeClr val="bg1">
              <a:lumMod val="95000"/>
            </a:schemeClr>
          </a:solidFill>
          <a:ln w="12700" cap="flat" cmpd="sng" algn="ctr">
            <a:noFill/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xdr:spPr>
        <xdr:txBody>
          <a:bodyPr spcFirstLastPara="0" vert="horz" wrap="square" lIns="93928" tIns="93928" rIns="93928" bIns="93928" numCol="1" spcCol="1270" anchor="t" anchorCtr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710898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600" b="1" i="0" u="none" strike="noStrike" kern="0" cap="none" spc="0" normalizeH="0" baseline="0">
                <a:ln>
                  <a:noFill/>
                </a:ln>
                <a:effectLst/>
                <a:uLnTx/>
                <a:uFillTx/>
                <a:latin typeface="Calibri"/>
                <a:ea typeface="+mn-ea"/>
                <a:cs typeface="Arial" panose="020B0604020202020204" pitchFamily="34" charset="0"/>
              </a:rPr>
              <a:t>Non - Critical Incident</a:t>
            </a:r>
          </a:p>
          <a:p>
            <a:pPr marL="0" marR="0" lvl="0" indent="0" algn="ctr" defTabSz="710898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en-IN" sz="1100" b="0" i="1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Arial" panose="020B0604020202020204" pitchFamily="34" charset="0"/>
            </a:endParaRPr>
          </a:p>
          <a:p>
            <a:pPr marL="0" marR="0" lvl="0" indent="0" algn="l" defTabSz="710898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en-IN" sz="1100" b="0" i="1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Arial" panose="020B0604020202020204" pitchFamily="34" charset="0"/>
            </a:endParaRPr>
          </a:p>
        </xdr:txBody>
      </xdr:sp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xmlns="" id="{00000000-0008-0000-0900-000004000000}"/>
              </a:ext>
            </a:extLst>
          </xdr:cNvPr>
          <xdr:cNvCxnSpPr>
            <a:cxnSpLocks/>
          </xdr:cNvCxnSpPr>
        </xdr:nvCxnSpPr>
        <xdr:spPr>
          <a:xfrm flipV="1">
            <a:off x="6042315" y="1039246"/>
            <a:ext cx="5677449" cy="4844"/>
          </a:xfrm>
          <a:prstGeom prst="line">
            <a:avLst/>
          </a:prstGeom>
          <a:noFill/>
          <a:ln w="76200" cap="flat" cmpd="sng" algn="ctr">
            <a:solidFill>
              <a:srgbClr val="92D050"/>
            </a:solidFill>
            <a:prstDash val="solid"/>
          </a:ln>
          <a:effectLst/>
        </xdr:spPr>
      </xdr:cxn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xmlns="" id="{00000000-0008-0000-0900-000005000000}"/>
              </a:ext>
            </a:extLst>
          </xdr:cNvPr>
          <xdr:cNvSpPr/>
        </xdr:nvSpPr>
        <xdr:spPr>
          <a:xfrm>
            <a:off x="7301127" y="2227518"/>
            <a:ext cx="3122672" cy="241980"/>
          </a:xfrm>
          <a:prstGeom prst="rect">
            <a:avLst/>
          </a:prstGeom>
          <a:noFill/>
        </xdr:spPr>
        <xdr:txBody>
          <a:bodyPr wrap="square" lIns="36000" tIns="36000" rIns="36000" bIns="36000" rtlCol="0" anchor="ctr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Calibri"/>
                <a:ea typeface="+mn-ea"/>
                <a:cs typeface="Arial" charset="0"/>
              </a:rPr>
              <a:t>95% - STD; 90% - T’hold </a:t>
            </a: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SpPr/>
        </xdr:nvSpPr>
        <xdr:spPr>
          <a:xfrm>
            <a:off x="9667595" y="2672013"/>
            <a:ext cx="2023504" cy="1395714"/>
          </a:xfrm>
          <a:prstGeom prst="rect">
            <a:avLst/>
          </a:prstGeom>
          <a:solidFill>
            <a:schemeClr val="bg1">
              <a:lumMod val="95000"/>
            </a:schemeClr>
          </a:solidFill>
          <a:ln w="12700" cap="flat" cmpd="sng" algn="ctr">
            <a:noFill/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xdr:spPr>
        <xdr:txBody>
          <a:bodyPr spcFirstLastPara="0" vert="horz" wrap="square" lIns="93928" tIns="93928" rIns="93928" bIns="93928" numCol="1" spcCol="1270" anchor="t" anchorCtr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710916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en-IN" sz="1400" b="1" i="1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Arial" charset="0"/>
            </a:endParaRPr>
          </a:p>
          <a:p>
            <a:pPr marL="0" marR="0" lvl="0" indent="0" algn="l" defTabSz="710916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en-IN" sz="1400" b="1" i="1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Arial" charset="0"/>
            </a:endParaRPr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CxnSpPr>
            <a:cxnSpLocks/>
          </xdr:cNvCxnSpPr>
        </xdr:nvCxnSpPr>
        <xdr:spPr>
          <a:xfrm flipV="1">
            <a:off x="9651987" y="2614605"/>
            <a:ext cx="2039112" cy="18950"/>
          </a:xfrm>
          <a:prstGeom prst="line">
            <a:avLst/>
          </a:prstGeom>
          <a:noFill/>
          <a:ln w="76200" cap="flat" cmpd="sng" algn="ctr">
            <a:solidFill>
              <a:srgbClr val="92D050"/>
            </a:solidFill>
            <a:prstDash val="solid"/>
          </a:ln>
          <a:effectLst/>
        </xdr:spPr>
      </xdr:cxn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SpPr/>
        </xdr:nvSpPr>
        <xdr:spPr>
          <a:xfrm>
            <a:off x="221835" y="1059516"/>
            <a:ext cx="5697490" cy="1389888"/>
          </a:xfrm>
          <a:prstGeom prst="rect">
            <a:avLst/>
          </a:prstGeom>
          <a:solidFill>
            <a:schemeClr val="bg1">
              <a:lumMod val="95000"/>
            </a:schemeClr>
          </a:solidFill>
          <a:ln w="12700" cap="flat" cmpd="sng" algn="ctr">
            <a:noFill/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xdr:spPr>
        <xdr:txBody>
          <a:bodyPr spcFirstLastPara="0" vert="horz" wrap="square" lIns="93928" tIns="93928" rIns="93928" bIns="93928" numCol="1" spcCol="1270" anchor="t" anchorCtr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710898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600" b="1" i="0" u="none" strike="noStrike" kern="0" cap="none" spc="0" normalizeH="0" baseline="0">
                <a:ln>
                  <a:noFill/>
                </a:ln>
                <a:effectLst/>
                <a:uLnTx/>
                <a:uFillTx/>
                <a:latin typeface="Calibri"/>
                <a:ea typeface="+mn-ea"/>
                <a:cs typeface="+mn-cs"/>
              </a:rPr>
              <a:t>Critical / High Incident</a:t>
            </a:r>
            <a:endParaRPr kumimoji="0" lang="en-IN" sz="1400" b="1" i="1" u="none" strike="noStrike" kern="0" cap="none" spc="0" normalizeH="0" baseline="0">
              <a:ln>
                <a:noFill/>
              </a:ln>
              <a:effectLst/>
              <a:uLnTx/>
              <a:uFillTx/>
              <a:latin typeface="Calibri"/>
              <a:ea typeface="+mn-ea"/>
              <a:cs typeface="+mn-cs"/>
            </a:endParaRPr>
          </a:p>
          <a:p>
            <a:pPr marL="0" marR="0" lvl="0" indent="0" algn="l" defTabSz="710898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en-IN" sz="1600" b="1" i="0" u="none" strike="noStrike" kern="0" cap="none" spc="0" normalizeH="0" baseline="0">
              <a:ln>
                <a:noFill/>
              </a:ln>
              <a:solidFill>
                <a:srgbClr val="78BE2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CxnSpPr>
            <a:cxnSpLocks/>
          </xdr:cNvCxnSpPr>
        </xdr:nvCxnSpPr>
        <xdr:spPr>
          <a:xfrm>
            <a:off x="205238" y="1039246"/>
            <a:ext cx="5714087" cy="4844"/>
          </a:xfrm>
          <a:prstGeom prst="line">
            <a:avLst/>
          </a:prstGeom>
          <a:noFill/>
          <a:ln w="76200" cap="flat" cmpd="sng" algn="ctr">
            <a:solidFill>
              <a:srgbClr val="92D050"/>
            </a:solidFill>
            <a:prstDash val="solid"/>
          </a:ln>
          <a:effectLst/>
        </xdr:spPr>
      </xdr:cxn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xmlns="" id="{00000000-0008-0000-0900-00000A000000}"/>
              </a:ext>
            </a:extLst>
          </xdr:cNvPr>
          <xdr:cNvSpPr/>
        </xdr:nvSpPr>
        <xdr:spPr>
          <a:xfrm>
            <a:off x="1490625" y="2212911"/>
            <a:ext cx="3110601" cy="241980"/>
          </a:xfrm>
          <a:prstGeom prst="rect">
            <a:avLst/>
          </a:prstGeom>
          <a:noFill/>
        </xdr:spPr>
        <xdr:txBody>
          <a:bodyPr wrap="square" lIns="36000" tIns="36000" rIns="36000" bIns="36000" rtlCol="0" anchor="ctr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0" i="0" u="none" strike="noStrike" kern="0" cap="none" spc="0" normalizeH="0" baseline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Calibri"/>
                <a:ea typeface="+mn-ea"/>
                <a:cs typeface="Arial" charset="0"/>
              </a:rPr>
              <a:t>Total Crit/High - 13; 95% - STD; 90% - T’hold 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xmlns="" id="{00000000-0008-0000-0900-00000B000000}"/>
              </a:ext>
            </a:extLst>
          </xdr:cNvPr>
          <xdr:cNvSpPr/>
        </xdr:nvSpPr>
        <xdr:spPr>
          <a:xfrm>
            <a:off x="3756667" y="1294989"/>
            <a:ext cx="1861415" cy="3808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1600" b="1">
                <a:solidFill>
                  <a:srgbClr val="0070C0"/>
                </a:solidFill>
              </a:rPr>
              <a:t>Resolution</a:t>
            </a:r>
          </a:p>
        </xdr:txBody>
      </xdr: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xmlns="" id="{00000000-0008-0000-0900-00000C000000}"/>
              </a:ext>
            </a:extLst>
          </xdr:cNvPr>
          <xdr:cNvCxnSpPr>
            <a:cxnSpLocks/>
          </xdr:cNvCxnSpPr>
        </xdr:nvCxnSpPr>
        <xdr:spPr>
          <a:xfrm>
            <a:off x="3178883" y="1425373"/>
            <a:ext cx="0" cy="716085"/>
          </a:xfrm>
          <a:prstGeom prst="line">
            <a:avLst/>
          </a:prstGeom>
          <a:ln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xmlns="" id="{00000000-0008-0000-0900-00000D000000}"/>
              </a:ext>
            </a:extLst>
          </xdr:cNvPr>
          <xdr:cNvSpPr/>
        </xdr:nvSpPr>
        <xdr:spPr>
          <a:xfrm>
            <a:off x="312470" y="1294989"/>
            <a:ext cx="1675240" cy="3808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R="0" lvl="0" indent="0" algn="ctr" fontAlgn="auto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>
                <a:solidFill>
                  <a:srgbClr val="0070C0"/>
                </a:solidFill>
              </a:rPr>
              <a:t>Response</a:t>
            </a:r>
          </a:p>
        </xdr:txBody>
      </xdr:sp>
      <xdr:sp macro="" textlink="">
        <xdr:nvSpPr>
          <xdr:cNvPr id="14" name="TextBox 19">
            <a:extLst>
              <a:ext uri="{FF2B5EF4-FFF2-40B4-BE49-F238E27FC236}">
                <a16:creationId xmlns:a16="http://schemas.microsoft.com/office/drawing/2014/main" xmlns="" id="{00000000-0008-0000-0900-00000E000000}"/>
              </a:ext>
            </a:extLst>
          </xdr:cNvPr>
          <xdr:cNvSpPr txBox="1"/>
        </xdr:nvSpPr>
        <xdr:spPr>
          <a:xfrm>
            <a:off x="9634341" y="2652151"/>
            <a:ext cx="2042096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600" b="1" i="0" u="none" strike="noStrike" kern="1200" cap="none" spc="0" normalizeH="0" baseline="0">
                <a:ln>
                  <a:noFill/>
                </a:ln>
                <a:effectLst/>
                <a:uLnTx/>
                <a:uFillTx/>
                <a:latin typeface="Calibri"/>
                <a:ea typeface="+mn-ea"/>
                <a:cs typeface="+mn-cs"/>
              </a:rPr>
              <a:t>Attrition</a:t>
            </a:r>
          </a:p>
        </xdr:txBody>
      </xdr:sp>
      <xdr:sp macro="" textlink="C5">
        <xdr:nvSpPr>
          <xdr:cNvPr id="15" name="TextBox 43">
            <a:extLst>
              <a:ext uri="{FF2B5EF4-FFF2-40B4-BE49-F238E27FC236}">
                <a16:creationId xmlns:a16="http://schemas.microsoft.com/office/drawing/2014/main" xmlns="" id="{00000000-0008-0000-0900-00000F000000}"/>
              </a:ext>
            </a:extLst>
          </xdr:cNvPr>
          <xdr:cNvSpPr txBox="1"/>
        </xdr:nvSpPr>
        <xdr:spPr>
          <a:xfrm>
            <a:off x="433534" y="1594024"/>
            <a:ext cx="1683437" cy="46801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7A9006C-3017-4FFB-96C4-5DA83AA3F6CF}" type="TxLink">
              <a:rPr kumimoji="0" lang="en-US" sz="2400" b="1" i="0" u="none" strike="noStrike" kern="1200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100%</a:t>
            </a:fld>
            <a:endParaRPr kumimoji="0" lang="en-US" sz="4800" b="1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ea typeface="+mn-ea"/>
              <a:cs typeface="+mn-cs"/>
            </a:endParaRPr>
          </a:p>
        </xdr:txBody>
      </xdr:sp>
      <xdr:sp macro="" textlink="C6">
        <xdr:nvSpPr>
          <xdr:cNvPr id="16" name="TextBox 44">
            <a:extLst>
              <a:ext uri="{FF2B5EF4-FFF2-40B4-BE49-F238E27FC236}">
                <a16:creationId xmlns:a16="http://schemas.microsoft.com/office/drawing/2014/main" xmlns="" id="{00000000-0008-0000-0900-000010000000}"/>
              </a:ext>
            </a:extLst>
          </xdr:cNvPr>
          <xdr:cNvSpPr txBox="1"/>
        </xdr:nvSpPr>
        <xdr:spPr>
          <a:xfrm>
            <a:off x="3759508" y="1594024"/>
            <a:ext cx="1683437" cy="46801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512E0A1-38E9-46F2-A17A-132C73C885C9}" type="TxLink">
              <a:rPr kumimoji="0" lang="en-US" sz="2400" b="1" i="0" u="none" strike="noStrike" kern="1200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100%</a:t>
            </a:fld>
            <a:endParaRPr kumimoji="0" lang="en-US" sz="4800" b="1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ea typeface="+mn-ea"/>
              <a:cs typeface="+mn-cs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xmlns="" id="{00000000-0008-0000-0900-000011000000}"/>
              </a:ext>
            </a:extLst>
          </xdr:cNvPr>
          <xdr:cNvSpPr/>
        </xdr:nvSpPr>
        <xdr:spPr>
          <a:xfrm>
            <a:off x="6282693" y="1294989"/>
            <a:ext cx="1628624" cy="3808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1600" b="1">
                <a:solidFill>
                  <a:srgbClr val="0070C0"/>
                </a:solidFill>
              </a:rPr>
              <a:t>Response</a:t>
            </a: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xmlns="" id="{00000000-0008-0000-0900-000012000000}"/>
              </a:ext>
            </a:extLst>
          </xdr:cNvPr>
          <xdr:cNvSpPr/>
        </xdr:nvSpPr>
        <xdr:spPr>
          <a:xfrm>
            <a:off x="9634341" y="1294989"/>
            <a:ext cx="1705557" cy="3808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1600" b="1">
                <a:solidFill>
                  <a:srgbClr val="0070C0"/>
                </a:solidFill>
              </a:rPr>
              <a:t>Resolution</a:t>
            </a:r>
          </a:p>
        </xdr:txBody>
      </xdr:sp>
      <xdr:sp macro="" textlink="C7">
        <xdr:nvSpPr>
          <xdr:cNvPr id="19" name="TextBox 45">
            <a:extLst>
              <a:ext uri="{FF2B5EF4-FFF2-40B4-BE49-F238E27FC236}">
                <a16:creationId xmlns:a16="http://schemas.microsoft.com/office/drawing/2014/main" xmlns="" id="{00000000-0008-0000-0900-000013000000}"/>
              </a:ext>
            </a:extLst>
          </xdr:cNvPr>
          <xdr:cNvSpPr txBox="1"/>
        </xdr:nvSpPr>
        <xdr:spPr>
          <a:xfrm>
            <a:off x="6297776" y="1594024"/>
            <a:ext cx="1683437" cy="46801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5D96EE3A-53D0-4660-94A1-5935F490F28E}" type="TxLink">
              <a:rPr kumimoji="0" lang="en-US" sz="2400" b="1" i="0" u="none" strike="noStrike" kern="1200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100%</a:t>
            </a:fld>
            <a:endParaRPr kumimoji="0" lang="en-US" sz="4800" b="1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ea typeface="+mn-ea"/>
              <a:cs typeface="+mn-cs"/>
            </a:endParaRPr>
          </a:p>
        </xdr:txBody>
      </xdr:sp>
      <xdr:sp macro="" textlink="C8">
        <xdr:nvSpPr>
          <xdr:cNvPr id="20" name="TextBox 46">
            <a:extLst>
              <a:ext uri="{FF2B5EF4-FFF2-40B4-BE49-F238E27FC236}">
                <a16:creationId xmlns:a16="http://schemas.microsoft.com/office/drawing/2014/main" xmlns="" id="{00000000-0008-0000-0900-000014000000}"/>
              </a:ext>
            </a:extLst>
          </xdr:cNvPr>
          <xdr:cNvSpPr txBox="1"/>
        </xdr:nvSpPr>
        <xdr:spPr>
          <a:xfrm>
            <a:off x="9722643" y="1594024"/>
            <a:ext cx="1683437" cy="46801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B8CEC269-C3C8-45C9-93BE-DEA355ADD212}" type="TxLink">
              <a:rPr kumimoji="0" lang="en-US" sz="2400" b="1" i="0" u="none" strike="noStrike" kern="1200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100%</a:t>
            </a:fld>
            <a:endParaRPr kumimoji="0" lang="en-US" sz="4800" b="1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ea typeface="+mn-ea"/>
              <a:cs typeface="+mn-cs"/>
            </a:endParaRPr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xmlns="" id="{00000000-0008-0000-0900-000015000000}"/>
              </a:ext>
            </a:extLst>
          </xdr:cNvPr>
          <xdr:cNvSpPr/>
        </xdr:nvSpPr>
        <xdr:spPr>
          <a:xfrm>
            <a:off x="216584" y="2631387"/>
            <a:ext cx="2034513" cy="1436339"/>
          </a:xfrm>
          <a:prstGeom prst="rect">
            <a:avLst/>
          </a:prstGeom>
          <a:solidFill>
            <a:schemeClr val="bg1">
              <a:lumMod val="95000"/>
            </a:schemeClr>
          </a:solidFill>
          <a:ln w="12700" cap="flat" cmpd="sng" algn="ctr">
            <a:noFill/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xdr:spPr>
        <xdr:txBody>
          <a:bodyPr spcFirstLastPara="0" vert="horz" wrap="square" lIns="93928" tIns="93928" rIns="93928" bIns="93928" numCol="1" spcCol="1270" anchor="t" anchorCtr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710916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600" b="1" i="0" u="none" strike="noStrike" kern="0" cap="none" spc="0" normalizeH="0" baseline="0">
                <a:ln>
                  <a:noFill/>
                </a:ln>
                <a:effectLst/>
                <a:uLnTx/>
                <a:uFillTx/>
                <a:latin typeface="Calibri"/>
                <a:ea typeface="+mn-ea"/>
                <a:cs typeface="+mn-cs"/>
              </a:rPr>
              <a:t>Availability</a:t>
            </a:r>
            <a:endParaRPr kumimoji="0" lang="en-IN" sz="1600" b="1" i="1" u="none" strike="noStrike" kern="0" cap="none" spc="0" normalizeH="0" baseline="0">
              <a:ln>
                <a:noFill/>
              </a:ln>
              <a:effectLst/>
              <a:uLnTx/>
              <a:uFillTx/>
              <a:latin typeface="Calibri"/>
              <a:ea typeface="+mn-ea"/>
              <a:cs typeface="+mn-cs"/>
            </a:endParaRPr>
          </a:p>
          <a:p>
            <a:pPr marL="0" marR="0" lvl="0" indent="0" algn="l" defTabSz="710916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en-IN" sz="1400" b="1" i="1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cxnSp macro="">
        <xdr:nvCxnSpPr>
          <xdr:cNvPr id="22" name="Straight Connector 21">
            <a:extLst>
              <a:ext uri="{FF2B5EF4-FFF2-40B4-BE49-F238E27FC236}">
                <a16:creationId xmlns:a16="http://schemas.microsoft.com/office/drawing/2014/main" xmlns="" id="{00000000-0008-0000-0900-000016000000}"/>
              </a:ext>
            </a:extLst>
          </xdr:cNvPr>
          <xdr:cNvCxnSpPr>
            <a:cxnSpLocks/>
          </xdr:cNvCxnSpPr>
        </xdr:nvCxnSpPr>
        <xdr:spPr>
          <a:xfrm flipV="1">
            <a:off x="216584" y="2611890"/>
            <a:ext cx="2051111" cy="9014"/>
          </a:xfrm>
          <a:prstGeom prst="line">
            <a:avLst/>
          </a:prstGeom>
          <a:noFill/>
          <a:ln w="76200" cap="flat" cmpd="sng" algn="ctr">
            <a:solidFill>
              <a:srgbClr val="92D050"/>
            </a:solidFill>
            <a:prstDash val="solid"/>
          </a:ln>
          <a:effectLst/>
        </xdr:spPr>
      </xdr:cxnSp>
      <xdr:sp macro="" textlink="$C$13">
        <xdr:nvSpPr>
          <xdr:cNvPr id="23" name="TextBox 51">
            <a:extLst>
              <a:ext uri="{FF2B5EF4-FFF2-40B4-BE49-F238E27FC236}">
                <a16:creationId xmlns:a16="http://schemas.microsoft.com/office/drawing/2014/main" xmlns="" id="{00000000-0008-0000-0900-000017000000}"/>
              </a:ext>
            </a:extLst>
          </xdr:cNvPr>
          <xdr:cNvSpPr txBox="1"/>
        </xdr:nvSpPr>
        <xdr:spPr>
          <a:xfrm>
            <a:off x="9776155" y="3156072"/>
            <a:ext cx="2024289" cy="46801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2DE4DDE-9533-46F5-8172-691B5229A107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4.17%</a:t>
            </a:fld>
            <a:endParaRPr kumimoji="0" lang="en-US" sz="4800" b="1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ea typeface="+mn-ea"/>
              <a:cs typeface="+mn-cs"/>
            </a:endParaRPr>
          </a:p>
        </xdr:txBody>
      </xdr:sp>
      <xdr:grpSp>
        <xdr:nvGrpSpPr>
          <xdr:cNvPr id="24" name="Group 23">
            <a:extLst>
              <a:ext uri="{FF2B5EF4-FFF2-40B4-BE49-F238E27FC236}">
                <a16:creationId xmlns:a16="http://schemas.microsoft.com/office/drawing/2014/main" xmlns="" id="{00000000-0008-0000-0900-000018000000}"/>
              </a:ext>
            </a:extLst>
          </xdr:cNvPr>
          <xdr:cNvGrpSpPr/>
        </xdr:nvGrpSpPr>
        <xdr:grpSpPr>
          <a:xfrm>
            <a:off x="4924013" y="2598273"/>
            <a:ext cx="2066544" cy="1471028"/>
            <a:chOff x="459611" y="1087145"/>
            <a:chExt cx="1441246" cy="1312835"/>
          </a:xfrm>
        </xdr:grpSpPr>
        <xdr:sp macro="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xmlns="" id="{00000000-0008-0000-0900-00003E000000}"/>
                </a:ext>
              </a:extLst>
            </xdr:cNvPr>
            <xdr:cNvSpPr/>
          </xdr:nvSpPr>
          <xdr:spPr>
            <a:xfrm>
              <a:off x="472566" y="1087145"/>
              <a:ext cx="1422115" cy="1312835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noFill/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xdr:spPr>
          <xdr:txBody>
            <a:bodyPr spcFirstLastPara="0" vert="horz" wrap="square" lIns="93928" tIns="93928" rIns="93928" bIns="93928" numCol="1" spcCol="1270" anchor="t" anchorCtr="0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710916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IN" sz="1600" b="1" i="0" u="none" strike="noStrike" kern="0" cap="none" spc="0" normalizeH="0" baseline="0">
                  <a:ln>
                    <a:noFill/>
                  </a:ln>
                  <a:effectLst/>
                  <a:uLnTx/>
                  <a:uFillTx/>
                  <a:latin typeface="Calibri"/>
                  <a:ea typeface="+mn-ea"/>
                  <a:cs typeface="+mn-cs"/>
                </a:rPr>
                <a:t>WO Processing</a:t>
              </a:r>
              <a:endParaRPr kumimoji="0" lang="en-IN" sz="1600" b="1" i="1" u="none" strike="noStrike" kern="0" cap="none" spc="0" normalizeH="0" baseline="0">
                <a:ln>
                  <a:noFill/>
                </a:ln>
                <a:effectLst/>
                <a:uLnTx/>
                <a:uFillTx/>
                <a:latin typeface="Calibri"/>
                <a:ea typeface="+mn-ea"/>
                <a:cs typeface="+mn-cs"/>
              </a:endParaRPr>
            </a:p>
            <a:p>
              <a:pPr marL="0" marR="0" lvl="0" indent="0" algn="l" defTabSz="710916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en-IN" sz="1400" b="1" i="1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cxnSp macro="">
          <xdr:nvCxnSpPr>
            <xdr:cNvPr id="63" name="Straight Connector 62">
              <a:extLst>
                <a:ext uri="{FF2B5EF4-FFF2-40B4-BE49-F238E27FC236}">
                  <a16:creationId xmlns:a16="http://schemas.microsoft.com/office/drawing/2014/main" xmlns="" id="{00000000-0008-0000-0900-00003F000000}"/>
                </a:ext>
              </a:extLst>
            </xdr:cNvPr>
            <xdr:cNvCxnSpPr>
              <a:cxnSpLocks/>
            </xdr:cNvCxnSpPr>
          </xdr:nvCxnSpPr>
          <xdr:spPr>
            <a:xfrm>
              <a:off x="459611" y="1093898"/>
              <a:ext cx="1441246" cy="0"/>
            </a:xfrm>
            <a:prstGeom prst="line">
              <a:avLst/>
            </a:prstGeom>
            <a:noFill/>
            <a:ln w="76200" cap="flat" cmpd="sng" algn="ctr">
              <a:solidFill>
                <a:srgbClr val="92D050"/>
              </a:solidFill>
              <a:prstDash val="solid"/>
            </a:ln>
            <a:effectLst/>
          </xdr:spPr>
        </xdr:cxnSp>
      </xdr:grpSp>
      <xdr:sp macro="" textlink="$C$11">
        <xdr:nvSpPr>
          <xdr:cNvPr id="25" name="TextBox 50">
            <a:extLst>
              <a:ext uri="{FF2B5EF4-FFF2-40B4-BE49-F238E27FC236}">
                <a16:creationId xmlns:a16="http://schemas.microsoft.com/office/drawing/2014/main" xmlns="" id="{00000000-0008-0000-0900-000019000000}"/>
              </a:ext>
            </a:extLst>
          </xdr:cNvPr>
          <xdr:cNvSpPr txBox="1"/>
        </xdr:nvSpPr>
        <xdr:spPr>
          <a:xfrm>
            <a:off x="5234327" y="3116595"/>
            <a:ext cx="1474305" cy="46801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D5A3DFC7-0137-4F35-91F2-711D4E9DD263}" type="TxLink">
              <a:rPr kumimoji="0" lang="en-US" sz="2400" b="1" i="0" u="none" strike="noStrike" kern="1200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98%</a:t>
            </a:fld>
            <a:endParaRPr kumimoji="0" lang="en-US" sz="4800" b="1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ea typeface="+mn-ea"/>
              <a:cs typeface="+mn-cs"/>
            </a:endParaRPr>
          </a:p>
        </xdr:txBody>
      </xdr:sp>
      <xdr:sp macro="" textlink="">
        <xdr:nvSpPr>
          <xdr:cNvPr id="26" name="TextBox 67">
            <a:extLst>
              <a:ext uri="{FF2B5EF4-FFF2-40B4-BE49-F238E27FC236}">
                <a16:creationId xmlns:a16="http://schemas.microsoft.com/office/drawing/2014/main" xmlns="" id="{00000000-0008-0000-0900-00001A000000}"/>
              </a:ext>
            </a:extLst>
          </xdr:cNvPr>
          <xdr:cNvSpPr txBox="1"/>
        </xdr:nvSpPr>
        <xdr:spPr>
          <a:xfrm>
            <a:off x="5166810" y="3822804"/>
            <a:ext cx="1896233" cy="241980"/>
          </a:xfrm>
          <a:prstGeom prst="rect">
            <a:avLst/>
          </a:prstGeom>
          <a:noFill/>
        </xdr:spPr>
        <xdr:txBody>
          <a:bodyPr wrap="square" lIns="36000" tIns="36000" rIns="36000" bIns="36000" rtlCol="0" anchor="ctr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050" b="0" i="0" u="none" strike="noStrike" kern="1200" cap="none" spc="0" normalizeH="0" baseline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Calibri" panose="020F0502020204030204" pitchFamily="34" charset="0"/>
                <a:ea typeface="+mn-ea"/>
                <a:cs typeface="+mn-cs"/>
              </a:rPr>
              <a:t>7 Days - </a:t>
            </a:r>
            <a:r>
              <a:rPr kumimoji="0" lang="en-US" sz="1000" b="0" i="0" u="none" strike="noStrike" kern="1200" cap="none" spc="0" normalizeH="0" baseline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Calibri" panose="020F0502020204030204" pitchFamily="34" charset="0"/>
                <a:ea typeface="+mn-ea"/>
                <a:cs typeface="+mn-cs"/>
              </a:rPr>
              <a:t>STD</a:t>
            </a:r>
            <a:r>
              <a:rPr kumimoji="0" lang="en-US" sz="1050" b="0" i="0" u="none" strike="noStrike" kern="1200" cap="none" spc="0" normalizeH="0" baseline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Calibri" panose="020F0502020204030204" pitchFamily="34" charset="0"/>
                <a:ea typeface="+mn-ea"/>
                <a:cs typeface="+mn-cs"/>
              </a:rPr>
              <a:t>; 7 </a:t>
            </a:r>
            <a:r>
              <a:rPr kumimoji="0" lang="en-US" sz="1100" b="0" i="0" u="none" strike="noStrike" kern="1200" cap="none" spc="0" normalizeH="0" baseline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Calibri" panose="020F0502020204030204" pitchFamily="34" charset="0"/>
                <a:ea typeface="+mn-ea"/>
                <a:cs typeface="+mn-cs"/>
              </a:rPr>
              <a:t>Days</a:t>
            </a:r>
            <a:r>
              <a:rPr kumimoji="0" lang="en-US" sz="1050" b="0" i="0" u="none" strike="noStrike" kern="1200" cap="none" spc="0" normalizeH="0" baseline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Calibri" panose="020F0502020204030204" pitchFamily="34" charset="0"/>
                <a:ea typeface="+mn-ea"/>
                <a:cs typeface="+mn-cs"/>
              </a:rPr>
              <a:t> – T’hold</a:t>
            </a:r>
          </a:p>
        </xdr:txBody>
      </xdr:sp>
      <xdr:grpSp>
        <xdr:nvGrpSpPr>
          <xdr:cNvPr id="27" name="Group 26">
            <a:extLst>
              <a:ext uri="{FF2B5EF4-FFF2-40B4-BE49-F238E27FC236}">
                <a16:creationId xmlns:a16="http://schemas.microsoft.com/office/drawing/2014/main" xmlns="" id="{00000000-0008-0000-0900-00001B000000}"/>
              </a:ext>
            </a:extLst>
          </xdr:cNvPr>
          <xdr:cNvGrpSpPr/>
        </xdr:nvGrpSpPr>
        <xdr:grpSpPr>
          <a:xfrm>
            <a:off x="7285519" y="2598272"/>
            <a:ext cx="2054720" cy="1458577"/>
            <a:chOff x="480645" y="1074044"/>
            <a:chExt cx="1430898" cy="1346789"/>
          </a:xfrm>
        </xdr:grpSpPr>
        <xdr:sp macro="" textlink="">
          <xdr:nvSpPr>
            <xdr:cNvPr id="60" name="Rectangle 59">
              <a:extLst>
                <a:ext uri="{FF2B5EF4-FFF2-40B4-BE49-F238E27FC236}">
                  <a16:creationId xmlns:a16="http://schemas.microsoft.com/office/drawing/2014/main" xmlns="" id="{00000000-0008-0000-0900-00003C000000}"/>
                </a:ext>
              </a:extLst>
            </xdr:cNvPr>
            <xdr:cNvSpPr/>
          </xdr:nvSpPr>
          <xdr:spPr>
            <a:xfrm>
              <a:off x="491514" y="1074044"/>
              <a:ext cx="1420029" cy="13467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noFill/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xdr:spPr>
          <xdr:txBody>
            <a:bodyPr spcFirstLastPara="0" vert="horz" wrap="square" lIns="93928" tIns="93928" rIns="93928" bIns="93928" numCol="1" spcCol="1270" anchor="t" anchorCtr="0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710916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en-IN" sz="1400" b="1" i="1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"/>
                <a:ea typeface="+mn-ea"/>
                <a:cs typeface="Arial" charset="0"/>
              </a:endParaRPr>
            </a:p>
            <a:p>
              <a:pPr marL="0" marR="0" lvl="0" indent="0" algn="l" defTabSz="710916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en-IN" sz="1400" b="1" i="1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"/>
                <a:ea typeface="+mn-ea"/>
                <a:cs typeface="Arial" charset="0"/>
              </a:endParaRPr>
            </a:p>
          </xdr:txBody>
        </xdr:sp>
        <xdr:cxnSp macro="">
          <xdr:nvCxnSpPr>
            <xdr:cNvPr id="61" name="Straight Connector 60">
              <a:extLst>
                <a:ext uri="{FF2B5EF4-FFF2-40B4-BE49-F238E27FC236}">
                  <a16:creationId xmlns:a16="http://schemas.microsoft.com/office/drawing/2014/main" xmlns="" id="{00000000-0008-0000-0900-00003D000000}"/>
                </a:ext>
              </a:extLst>
            </xdr:cNvPr>
            <xdr:cNvCxnSpPr>
              <a:cxnSpLocks/>
            </xdr:cNvCxnSpPr>
          </xdr:nvCxnSpPr>
          <xdr:spPr>
            <a:xfrm>
              <a:off x="480645" y="1093509"/>
              <a:ext cx="1430898" cy="0"/>
            </a:xfrm>
            <a:prstGeom prst="line">
              <a:avLst/>
            </a:prstGeom>
            <a:noFill/>
            <a:ln w="76200" cap="flat" cmpd="sng" algn="ctr">
              <a:solidFill>
                <a:srgbClr val="92D050"/>
              </a:solidFill>
              <a:prstDash val="solid"/>
            </a:ln>
            <a:effectLst/>
          </xdr:spPr>
        </xdr:cxnSp>
      </xdr:grpSp>
      <xdr:sp macro="" textlink="">
        <xdr:nvSpPr>
          <xdr:cNvPr id="28" name="TextBox 60">
            <a:extLst>
              <a:ext uri="{FF2B5EF4-FFF2-40B4-BE49-F238E27FC236}">
                <a16:creationId xmlns:a16="http://schemas.microsoft.com/office/drawing/2014/main" xmlns="" id="{00000000-0008-0000-0900-00001C000000}"/>
              </a:ext>
            </a:extLst>
          </xdr:cNvPr>
          <xdr:cNvSpPr txBox="1"/>
        </xdr:nvSpPr>
        <xdr:spPr>
          <a:xfrm>
            <a:off x="7313159" y="2652024"/>
            <a:ext cx="2044726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600" b="1" i="0" u="none" strike="noStrike" kern="1200" cap="none" spc="0" normalizeH="0" baseline="0">
                <a:ln>
                  <a:noFill/>
                </a:ln>
                <a:effectLst/>
                <a:uLnTx/>
                <a:uFillTx/>
                <a:latin typeface="Calibri"/>
                <a:ea typeface="+mn-ea"/>
                <a:cs typeface="+mn-cs"/>
              </a:rPr>
              <a:t>Staffing Tenure</a:t>
            </a:r>
          </a:p>
        </xdr:txBody>
      </xdr:sp>
      <xdr:sp macro="" textlink="$C$12">
        <xdr:nvSpPr>
          <xdr:cNvPr id="29" name="TextBox 68">
            <a:extLst>
              <a:ext uri="{FF2B5EF4-FFF2-40B4-BE49-F238E27FC236}">
                <a16:creationId xmlns:a16="http://schemas.microsoft.com/office/drawing/2014/main" xmlns="" id="{00000000-0008-0000-0900-00001D000000}"/>
              </a:ext>
            </a:extLst>
          </xdr:cNvPr>
          <xdr:cNvSpPr txBox="1"/>
        </xdr:nvSpPr>
        <xdr:spPr>
          <a:xfrm>
            <a:off x="7273441" y="3133143"/>
            <a:ext cx="2082406" cy="46801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C927DC1D-D89F-4B41-AF93-A7DA0CE6DACF}" type="TxLink">
              <a:rPr kumimoji="0" lang="en-US" sz="2400" b="1" i="0" u="none" strike="noStrike" kern="1200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77%</a:t>
            </a:fld>
            <a:endParaRPr kumimoji="0" lang="en-US" sz="4800" b="1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ea typeface="+mn-ea"/>
              <a:cs typeface="+mn-cs"/>
            </a:endParaRPr>
          </a:p>
        </xdr:txBody>
      </xdr:sp>
      <xdr:sp macro="" textlink="">
        <xdr:nvSpPr>
          <xdr:cNvPr id="30" name="TextBox 161">
            <a:extLst>
              <a:ext uri="{FF2B5EF4-FFF2-40B4-BE49-F238E27FC236}">
                <a16:creationId xmlns:a16="http://schemas.microsoft.com/office/drawing/2014/main" xmlns="" id="{00000000-0008-0000-0900-00001E000000}"/>
              </a:ext>
            </a:extLst>
          </xdr:cNvPr>
          <xdr:cNvSpPr txBox="1"/>
        </xdr:nvSpPr>
        <xdr:spPr>
          <a:xfrm>
            <a:off x="7372753" y="3834730"/>
            <a:ext cx="1874534" cy="241980"/>
          </a:xfrm>
          <a:prstGeom prst="rect">
            <a:avLst/>
          </a:prstGeom>
          <a:noFill/>
        </xdr:spPr>
        <xdr:txBody>
          <a:bodyPr wrap="square" lIns="36000" tIns="36000" rIns="36000" bIns="36000" rtlCol="0" anchor="ctr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000" b="0" i="0" u="none" strike="noStrike" kern="0" cap="none" spc="0" normalizeH="0" baseline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Calibri"/>
                <a:ea typeface="+mn-ea"/>
                <a:cs typeface="Arial" charset="0"/>
              </a:rPr>
              <a:t>&gt; 12 </a:t>
            </a:r>
            <a:r>
              <a:rPr kumimoji="0" lang="en-US" sz="1100" b="0" i="0" u="none" strike="noStrike" kern="0" cap="none" spc="0" normalizeH="0" baseline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Calibri"/>
                <a:ea typeface="+mn-ea"/>
                <a:cs typeface="Arial" charset="0"/>
              </a:rPr>
              <a:t>months</a:t>
            </a: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xmlns="" id="{00000000-0008-0000-0900-00001F000000}"/>
              </a:ext>
            </a:extLst>
          </xdr:cNvPr>
          <xdr:cNvSpPr/>
        </xdr:nvSpPr>
        <xdr:spPr>
          <a:xfrm>
            <a:off x="227080" y="4175632"/>
            <a:ext cx="5692245" cy="1576712"/>
          </a:xfrm>
          <a:prstGeom prst="rect">
            <a:avLst/>
          </a:prstGeom>
          <a:solidFill>
            <a:schemeClr val="bg1">
              <a:lumMod val="95000"/>
            </a:schemeClr>
          </a:solidFill>
          <a:ln w="12700" cap="flat" cmpd="sng" algn="ctr">
            <a:noFill/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xdr:spPr>
        <xdr:txBody>
          <a:bodyPr spcFirstLastPara="0" vert="horz" wrap="square" lIns="93928" tIns="93928" rIns="93928" bIns="93928" numCol="1" spcCol="1270" anchor="t" anchorCtr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710898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600" b="1" i="0" u="none" strike="noStrike" kern="0" cap="none" spc="0" normalizeH="0" baseline="0">
                <a:ln>
                  <a:noFill/>
                </a:ln>
                <a:effectLst/>
                <a:uLnTx/>
                <a:uFillTx/>
                <a:latin typeface="Calibri"/>
                <a:ea typeface="+mn-ea"/>
                <a:cs typeface="Arial" panose="020B0604020202020204" pitchFamily="34" charset="0"/>
              </a:rPr>
              <a:t>Compliance</a:t>
            </a:r>
          </a:p>
          <a:p>
            <a:pPr marL="0" marR="0" lvl="0" indent="0" algn="ctr" defTabSz="710898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en-IN" sz="1100" b="0" i="1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Arial" panose="020B0604020202020204" pitchFamily="34" charset="0"/>
            </a:endParaRPr>
          </a:p>
          <a:p>
            <a:pPr marL="0" marR="0" lvl="0" indent="0" algn="l" defTabSz="710898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en-IN" sz="1100" b="0" i="1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Arial" panose="020B0604020202020204" pitchFamily="34" charset="0"/>
            </a:endParaRPr>
          </a:p>
        </xdr:txBody>
      </xdr:sp>
      <xdr:cxnSp macro="">
        <xdr:nvCxnSpPr>
          <xdr:cNvPr id="32" name="Straight Connector 31">
            <a:extLst>
              <a:ext uri="{FF2B5EF4-FFF2-40B4-BE49-F238E27FC236}">
                <a16:creationId xmlns:a16="http://schemas.microsoft.com/office/drawing/2014/main" xmlns="" id="{00000000-0008-0000-0900-000020000000}"/>
              </a:ext>
            </a:extLst>
          </xdr:cNvPr>
          <xdr:cNvCxnSpPr>
            <a:cxnSpLocks/>
          </xdr:cNvCxnSpPr>
        </xdr:nvCxnSpPr>
        <xdr:spPr>
          <a:xfrm flipV="1">
            <a:off x="210341" y="4229785"/>
            <a:ext cx="5708984" cy="1"/>
          </a:xfrm>
          <a:prstGeom prst="line">
            <a:avLst/>
          </a:prstGeom>
          <a:noFill/>
          <a:ln w="76200" cap="flat" cmpd="sng" algn="ctr">
            <a:solidFill>
              <a:srgbClr val="92D050"/>
            </a:solidFill>
            <a:prstDash val="solid"/>
          </a:ln>
          <a:effectLst/>
        </xdr:spPr>
      </xdr:cxn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xmlns="" id="{00000000-0008-0000-0900-000021000000}"/>
              </a:ext>
            </a:extLst>
          </xdr:cNvPr>
          <xdr:cNvSpPr/>
        </xdr:nvSpPr>
        <xdr:spPr>
          <a:xfrm>
            <a:off x="915567" y="5515762"/>
            <a:ext cx="2064217" cy="226591"/>
          </a:xfrm>
          <a:prstGeom prst="rect">
            <a:avLst/>
          </a:prstGeom>
          <a:noFill/>
        </xdr:spPr>
        <xdr:txBody>
          <a:bodyPr wrap="square" lIns="36000" tIns="36000" rIns="36000" bIns="36000" rtlCol="0" anchor="ctr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000" b="0" i="0" u="none" strike="noStrike" kern="0" cap="none" spc="0" normalizeH="0" baseline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ea typeface="+mn-ea"/>
                <a:cs typeface="Arial" charset="0"/>
              </a:rPr>
              <a:t>95% - STD; 90% - T’hold </a:t>
            </a:r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xmlns="" id="{00000000-0008-0000-0900-000022000000}"/>
              </a:ext>
            </a:extLst>
          </xdr:cNvPr>
          <xdr:cNvSpPr/>
        </xdr:nvSpPr>
        <xdr:spPr>
          <a:xfrm>
            <a:off x="366741" y="4506932"/>
            <a:ext cx="1133928" cy="3808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1600" b="1">
                <a:solidFill>
                  <a:srgbClr val="0070C0"/>
                </a:solidFill>
              </a:rPr>
              <a:t>CRQ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xmlns="" id="{00000000-0008-0000-0900-000023000000}"/>
              </a:ext>
            </a:extLst>
          </xdr:cNvPr>
          <xdr:cNvSpPr/>
        </xdr:nvSpPr>
        <xdr:spPr>
          <a:xfrm>
            <a:off x="2279814" y="4506932"/>
            <a:ext cx="1382251" cy="3808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1600" b="1">
                <a:solidFill>
                  <a:srgbClr val="0070C0"/>
                </a:solidFill>
              </a:rPr>
              <a:t>SOX</a:t>
            </a:r>
          </a:p>
        </xdr:txBody>
      </xdr:sp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xmlns="" id="{00000000-0008-0000-0900-000024000000}"/>
              </a:ext>
            </a:extLst>
          </xdr:cNvPr>
          <xdr:cNvCxnSpPr/>
        </xdr:nvCxnSpPr>
        <xdr:spPr>
          <a:xfrm>
            <a:off x="2066716" y="4569659"/>
            <a:ext cx="0" cy="716085"/>
          </a:xfrm>
          <a:prstGeom prst="line">
            <a:avLst/>
          </a:prstGeom>
          <a:ln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C$14">
        <xdr:nvSpPr>
          <xdr:cNvPr id="37" name="TextBox 115">
            <a:extLst>
              <a:ext uri="{FF2B5EF4-FFF2-40B4-BE49-F238E27FC236}">
                <a16:creationId xmlns:a16="http://schemas.microsoft.com/office/drawing/2014/main" xmlns="" id="{00000000-0008-0000-0900-000025000000}"/>
              </a:ext>
            </a:extLst>
          </xdr:cNvPr>
          <xdr:cNvSpPr txBox="1"/>
        </xdr:nvSpPr>
        <xdr:spPr>
          <a:xfrm>
            <a:off x="381825" y="4813497"/>
            <a:ext cx="1172092" cy="46801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64732519-ACB2-4DD3-A708-C472323DF701}" type="TxLink">
              <a:rPr kumimoji="0" lang="en-US" sz="2400" b="1" i="0" u="none" strike="noStrike" kern="1200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100%</a:t>
            </a:fld>
            <a:endParaRPr kumimoji="0" lang="en-US" sz="4800" b="1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ea typeface="+mn-ea"/>
              <a:cs typeface="+mn-cs"/>
            </a:endParaRPr>
          </a:p>
        </xdr:txBody>
      </xdr:sp>
      <xdr:sp macro="" textlink="$C$15">
        <xdr:nvSpPr>
          <xdr:cNvPr id="38" name="TextBox 116">
            <a:extLst>
              <a:ext uri="{FF2B5EF4-FFF2-40B4-BE49-F238E27FC236}">
                <a16:creationId xmlns:a16="http://schemas.microsoft.com/office/drawing/2014/main" xmlns="" id="{00000000-0008-0000-0900-000026000000}"/>
              </a:ext>
            </a:extLst>
          </xdr:cNvPr>
          <xdr:cNvSpPr txBox="1"/>
        </xdr:nvSpPr>
        <xdr:spPr>
          <a:xfrm>
            <a:off x="2368117" y="4813497"/>
            <a:ext cx="1364324" cy="46801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D44E8CC0-9DAB-4EBC-A2E4-0D335013C328}" type="TxLink">
              <a:rPr kumimoji="0" lang="en-US" sz="2400" b="1" i="0" u="none" strike="noStrike" kern="1200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100%</a:t>
            </a:fld>
            <a:endParaRPr kumimoji="0" lang="en-US" sz="4800" b="1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ea typeface="+mn-ea"/>
              <a:cs typeface="+mn-cs"/>
            </a:endParaRPr>
          </a:p>
        </xdr:txBody>
      </xdr: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xmlns="" id="{00000000-0008-0000-0900-000027000000}"/>
              </a:ext>
            </a:extLst>
          </xdr:cNvPr>
          <xdr:cNvCxnSpPr/>
        </xdr:nvCxnSpPr>
        <xdr:spPr>
          <a:xfrm>
            <a:off x="3912948" y="4686286"/>
            <a:ext cx="0" cy="716085"/>
          </a:xfrm>
          <a:prstGeom prst="line">
            <a:avLst/>
          </a:prstGeom>
          <a:ln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xmlns="" id="{00000000-0008-0000-0900-000028000000}"/>
              </a:ext>
            </a:extLst>
          </xdr:cNvPr>
          <xdr:cNvSpPr/>
        </xdr:nvSpPr>
        <xdr:spPr>
          <a:xfrm>
            <a:off x="4047272" y="4485972"/>
            <a:ext cx="1695024" cy="3808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1600" b="1">
                <a:solidFill>
                  <a:srgbClr val="0070C0"/>
                </a:solidFill>
              </a:rPr>
              <a:t>Security</a:t>
            </a:r>
          </a:p>
        </xdr:txBody>
      </xdr:sp>
      <xdr:sp macro="" textlink="$C$16">
        <xdr:nvSpPr>
          <xdr:cNvPr id="41" name="TextBox 89">
            <a:extLst>
              <a:ext uri="{FF2B5EF4-FFF2-40B4-BE49-F238E27FC236}">
                <a16:creationId xmlns:a16="http://schemas.microsoft.com/office/drawing/2014/main" xmlns="" id="{00000000-0008-0000-0900-000029000000}"/>
              </a:ext>
            </a:extLst>
          </xdr:cNvPr>
          <xdr:cNvSpPr txBox="1"/>
        </xdr:nvSpPr>
        <xdr:spPr>
          <a:xfrm>
            <a:off x="4118124" y="4823022"/>
            <a:ext cx="1553319" cy="46801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3B13F581-FD38-4ECF-B0FE-17AB998E370A}" type="TxLink">
              <a:rPr kumimoji="0" lang="en-US" sz="2400" b="1" i="0" u="none" strike="noStrike" kern="1200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97.4%</a:t>
            </a:fld>
            <a:endParaRPr kumimoji="0" lang="en-US" sz="4800" b="1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2" name="TextBox 70">
            <a:extLst>
              <a:ext uri="{FF2B5EF4-FFF2-40B4-BE49-F238E27FC236}">
                <a16:creationId xmlns:a16="http://schemas.microsoft.com/office/drawing/2014/main" xmlns="" id="{00000000-0008-0000-0900-00002A000000}"/>
              </a:ext>
            </a:extLst>
          </xdr:cNvPr>
          <xdr:cNvSpPr txBox="1"/>
        </xdr:nvSpPr>
        <xdr:spPr>
          <a:xfrm>
            <a:off x="4227714" y="5486865"/>
            <a:ext cx="1644757" cy="24622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000"/>
              <a:t>*Account wide score</a:t>
            </a:r>
          </a:p>
        </xdr:txBody>
      </xdr:sp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xmlns="" id="{00000000-0008-0000-0900-00002B000000}"/>
              </a:ext>
            </a:extLst>
          </xdr:cNvPr>
          <xdr:cNvSpPr/>
        </xdr:nvSpPr>
        <xdr:spPr>
          <a:xfrm>
            <a:off x="6059053" y="4193232"/>
            <a:ext cx="5636567" cy="1559110"/>
          </a:xfrm>
          <a:prstGeom prst="rect">
            <a:avLst/>
          </a:prstGeom>
          <a:solidFill>
            <a:schemeClr val="bg1">
              <a:lumMod val="95000"/>
            </a:schemeClr>
          </a:solidFill>
          <a:ln w="12700" cap="flat" cmpd="sng" algn="ctr">
            <a:noFill/>
            <a:prstDash val="solid"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xdr:spPr>
        <xdr:txBody>
          <a:bodyPr spcFirstLastPara="0" vert="horz" wrap="square" lIns="93928" tIns="93928" rIns="93928" bIns="93928" numCol="1" spcCol="1270" anchor="t" anchorCtr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710898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600" b="1" i="0" u="none" strike="noStrike" kern="0" cap="none" spc="0" normalizeH="0" baseline="0">
                <a:ln>
                  <a:noFill/>
                </a:ln>
                <a:effectLst/>
                <a:uLnTx/>
                <a:uFillTx/>
                <a:latin typeface="Calibri"/>
                <a:ea typeface="+mn-ea"/>
                <a:cs typeface="Arial" panose="020B0604020202020204" pitchFamily="34" charset="0"/>
              </a:rPr>
              <a:t>Continuous</a:t>
            </a:r>
            <a:r>
              <a:rPr kumimoji="0" lang="en-IN" sz="1600" b="1" i="0" u="none" strike="noStrike" kern="0" cap="none" spc="0" normalizeH="0" baseline="0">
                <a:ln>
                  <a:noFill/>
                </a:ln>
                <a:solidFill>
                  <a:srgbClr val="002060"/>
                </a:solidFill>
                <a:effectLst/>
                <a:uLnTx/>
                <a:uFillTx/>
                <a:latin typeface="Calibri"/>
                <a:ea typeface="+mn-ea"/>
                <a:cs typeface="Arial" panose="020B0604020202020204" pitchFamily="34" charset="0"/>
              </a:rPr>
              <a:t> </a:t>
            </a:r>
            <a:r>
              <a:rPr kumimoji="0" lang="en-IN" sz="1600" b="1" i="0" u="none" strike="noStrike" kern="0" cap="none" spc="0" normalizeH="0" baseline="0">
                <a:ln>
                  <a:noFill/>
                </a:ln>
                <a:effectLst/>
                <a:uLnTx/>
                <a:uFillTx/>
                <a:latin typeface="Calibri"/>
                <a:ea typeface="+mn-ea"/>
                <a:cs typeface="Arial" panose="020B0604020202020204" pitchFamily="34" charset="0"/>
              </a:rPr>
              <a:t>Improvements</a:t>
            </a:r>
          </a:p>
          <a:p>
            <a:pPr marL="0" marR="0" lvl="0" indent="0" algn="ctr" defTabSz="710898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en-IN" sz="1100" b="0" i="1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Arial" panose="020B0604020202020204" pitchFamily="34" charset="0"/>
            </a:endParaRPr>
          </a:p>
          <a:p>
            <a:pPr marL="0" marR="0" lvl="0" indent="0" algn="l" defTabSz="710898" rtl="0" eaLnBrk="1" fontAlgn="auto" latinLnBrk="0" hangingPunct="1">
              <a:lnSpc>
                <a:spcPct val="90000"/>
              </a:lnSpc>
              <a:spcBef>
                <a:spcPts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endParaRPr kumimoji="0" lang="en-IN" sz="1100" b="0" i="1" u="none" strike="noStrike" kern="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alibri"/>
              <a:ea typeface="+mn-ea"/>
              <a:cs typeface="Arial" panose="020B0604020202020204" pitchFamily="34" charset="0"/>
            </a:endParaRPr>
          </a:p>
        </xdr:txBody>
      </xdr: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xmlns="" id="{00000000-0008-0000-0900-00002C000000}"/>
              </a:ext>
            </a:extLst>
          </xdr:cNvPr>
          <xdr:cNvCxnSpPr>
            <a:cxnSpLocks/>
          </xdr:cNvCxnSpPr>
        </xdr:nvCxnSpPr>
        <xdr:spPr>
          <a:xfrm>
            <a:off x="6059053" y="4229784"/>
            <a:ext cx="5660711" cy="2001"/>
          </a:xfrm>
          <a:prstGeom prst="line">
            <a:avLst/>
          </a:prstGeom>
          <a:noFill/>
          <a:ln w="76200" cap="flat" cmpd="sng" algn="ctr">
            <a:solidFill>
              <a:srgbClr val="92D050"/>
            </a:solidFill>
            <a:prstDash val="solid"/>
          </a:ln>
          <a:effectLst/>
        </xdr:spPr>
      </xdr:cxn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xmlns="" id="{00000000-0008-0000-0900-00002D000000}"/>
              </a:ext>
            </a:extLst>
          </xdr:cNvPr>
          <xdr:cNvSpPr/>
        </xdr:nvSpPr>
        <xdr:spPr>
          <a:xfrm>
            <a:off x="5944814" y="4456343"/>
            <a:ext cx="2299768" cy="3808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1600" b="1">
                <a:solidFill>
                  <a:srgbClr val="0070C0"/>
                </a:solidFill>
              </a:rPr>
              <a:t>Manual Effort Eliminated</a:t>
            </a:r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xmlns="" id="{00000000-0008-0000-0900-00002E000000}"/>
              </a:ext>
            </a:extLst>
          </xdr:cNvPr>
          <xdr:cNvSpPr/>
        </xdr:nvSpPr>
        <xdr:spPr>
          <a:xfrm>
            <a:off x="8527086" y="4487868"/>
            <a:ext cx="1382251" cy="38087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1600" b="1">
                <a:solidFill>
                  <a:srgbClr val="0070C0"/>
                </a:solidFill>
              </a:rPr>
              <a:t>Completed</a:t>
            </a:r>
          </a:p>
        </xdr:txBody>
      </xdr: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xmlns="" id="{00000000-0008-0000-0900-00002F000000}"/>
              </a:ext>
            </a:extLst>
          </xdr:cNvPr>
          <xdr:cNvCxnSpPr/>
        </xdr:nvCxnSpPr>
        <xdr:spPr>
          <a:xfrm>
            <a:off x="8363030" y="4669117"/>
            <a:ext cx="0" cy="716085"/>
          </a:xfrm>
          <a:prstGeom prst="line">
            <a:avLst/>
          </a:prstGeom>
          <a:ln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" name="TextBox 124">
            <a:extLst>
              <a:ext uri="{FF2B5EF4-FFF2-40B4-BE49-F238E27FC236}">
                <a16:creationId xmlns:a16="http://schemas.microsoft.com/office/drawing/2014/main" xmlns="" id="{00000000-0008-0000-0900-000030000000}"/>
              </a:ext>
            </a:extLst>
          </xdr:cNvPr>
          <xdr:cNvSpPr txBox="1"/>
        </xdr:nvSpPr>
        <xdr:spPr>
          <a:xfrm>
            <a:off x="6547158" y="4863920"/>
            <a:ext cx="1172092" cy="46166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400" b="1" i="0" u="none" strike="noStrike" kern="1200" cap="none" spc="0" normalizeH="0" baseline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ea typeface="+mn-ea"/>
                <a:cs typeface="+mn-cs"/>
              </a:rPr>
              <a:t>1,622</a:t>
            </a:r>
          </a:p>
        </xdr:txBody>
      </xdr:sp>
      <xdr:sp macro="" textlink="$C$18">
        <xdr:nvSpPr>
          <xdr:cNvPr id="49" name="TextBox 125">
            <a:extLst>
              <a:ext uri="{FF2B5EF4-FFF2-40B4-BE49-F238E27FC236}">
                <a16:creationId xmlns:a16="http://schemas.microsoft.com/office/drawing/2014/main" xmlns="" id="{00000000-0008-0000-0900-000031000000}"/>
              </a:ext>
            </a:extLst>
          </xdr:cNvPr>
          <xdr:cNvSpPr txBox="1"/>
        </xdr:nvSpPr>
        <xdr:spPr>
          <a:xfrm>
            <a:off x="8851742" y="4925936"/>
            <a:ext cx="970109" cy="46801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7EB4382-392E-48F9-9AC9-574B2BCE6F42}" type="TxLink">
              <a:rPr kumimoji="0" lang="en-US" sz="2400" b="1" i="0" u="none" strike="noStrike" kern="1200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</a:t>
            </a:fld>
            <a:endParaRPr kumimoji="0" lang="en-US" sz="4800" b="1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ea typeface="+mn-ea"/>
              <a:cs typeface="+mn-cs"/>
            </a:endParaRPr>
          </a:p>
        </xdr:txBody>
      </xdr: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xmlns="" id="{00000000-0008-0000-0900-000032000000}"/>
              </a:ext>
            </a:extLst>
          </xdr:cNvPr>
          <xdr:cNvCxnSpPr/>
        </xdr:nvCxnSpPr>
        <xdr:spPr>
          <a:xfrm>
            <a:off x="10238385" y="4643979"/>
            <a:ext cx="0" cy="716085"/>
          </a:xfrm>
          <a:prstGeom prst="line">
            <a:avLst/>
          </a:prstGeom>
          <a:ln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1" name="Rectangle 50">
            <a:extLst>
              <a:ext uri="{FF2B5EF4-FFF2-40B4-BE49-F238E27FC236}">
                <a16:creationId xmlns:a16="http://schemas.microsoft.com/office/drawing/2014/main" xmlns="" id="{00000000-0008-0000-0900-000033000000}"/>
              </a:ext>
            </a:extLst>
          </xdr:cNvPr>
          <xdr:cNvSpPr/>
        </xdr:nvSpPr>
        <xdr:spPr>
          <a:xfrm>
            <a:off x="10268041" y="4493459"/>
            <a:ext cx="1490430" cy="36018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sz="1600" b="1">
                <a:solidFill>
                  <a:srgbClr val="0070C0"/>
                </a:solidFill>
              </a:rPr>
              <a:t>In-Progress</a:t>
            </a:r>
          </a:p>
        </xdr:txBody>
      </xdr:sp>
      <xdr:sp macro="" textlink="$C$19">
        <xdr:nvSpPr>
          <xdr:cNvPr id="52" name="TextBox 128">
            <a:extLst>
              <a:ext uri="{FF2B5EF4-FFF2-40B4-BE49-F238E27FC236}">
                <a16:creationId xmlns:a16="http://schemas.microsoft.com/office/drawing/2014/main" xmlns="" id="{00000000-0008-0000-0900-000034000000}"/>
              </a:ext>
            </a:extLst>
          </xdr:cNvPr>
          <xdr:cNvSpPr txBox="1"/>
        </xdr:nvSpPr>
        <xdr:spPr>
          <a:xfrm>
            <a:off x="10538859" y="4953823"/>
            <a:ext cx="1091776" cy="46801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635302-32F3-4008-95AA-3E2928683A73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</a:t>
            </a:fld>
            <a:endParaRPr kumimoji="0" lang="en-US" sz="4800" b="1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endParaRPr>
          </a:p>
        </xdr:txBody>
      </xdr: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xmlns="" id="{00000000-0008-0000-0900-000035000000}"/>
              </a:ext>
            </a:extLst>
          </xdr:cNvPr>
          <xdr:cNvCxnSpPr>
            <a:cxnSpLocks/>
          </xdr:cNvCxnSpPr>
        </xdr:nvCxnSpPr>
        <xdr:spPr>
          <a:xfrm>
            <a:off x="8858743" y="1442955"/>
            <a:ext cx="0" cy="716085"/>
          </a:xfrm>
          <a:prstGeom prst="line">
            <a:avLst/>
          </a:prstGeom>
          <a:ln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54" name="Group 53">
            <a:extLst>
              <a:ext uri="{FF2B5EF4-FFF2-40B4-BE49-F238E27FC236}">
                <a16:creationId xmlns:a16="http://schemas.microsoft.com/office/drawing/2014/main" xmlns="" id="{00000000-0008-0000-0900-000036000000}"/>
              </a:ext>
            </a:extLst>
          </xdr:cNvPr>
          <xdr:cNvGrpSpPr/>
        </xdr:nvGrpSpPr>
        <xdr:grpSpPr>
          <a:xfrm>
            <a:off x="2543538" y="2613881"/>
            <a:ext cx="2057688" cy="1455420"/>
            <a:chOff x="459611" y="1087144"/>
            <a:chExt cx="1435070" cy="1312834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xmlns="" id="{00000000-0008-0000-0900-00003A000000}"/>
                </a:ext>
              </a:extLst>
            </xdr:cNvPr>
            <xdr:cNvSpPr/>
          </xdr:nvSpPr>
          <xdr:spPr>
            <a:xfrm>
              <a:off x="472566" y="1087144"/>
              <a:ext cx="1422115" cy="1312834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 w="12700" cap="flat" cmpd="sng" algn="ctr">
              <a:noFill/>
              <a:prstDash val="solid"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xdr:spPr>
          <xdr:txBody>
            <a:bodyPr spcFirstLastPara="0" vert="horz" wrap="square" lIns="93928" tIns="93928" rIns="93928" bIns="93928" numCol="1" spcCol="1270" anchor="t" anchorCtr="0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710916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IN" sz="1600" b="1" kern="0">
                  <a:latin typeface="Calibri"/>
                </a:rPr>
                <a:t>Bridge Time Averted</a:t>
              </a:r>
              <a:endParaRPr kumimoji="0" lang="en-IN" sz="1600" b="1" i="1" u="none" strike="noStrike" kern="0" cap="none" spc="0" normalizeH="0" baseline="0">
                <a:ln>
                  <a:noFill/>
                </a:ln>
                <a:effectLst/>
                <a:uLnTx/>
                <a:uFillTx/>
                <a:latin typeface="Calibri"/>
              </a:endParaRPr>
            </a:p>
            <a:p>
              <a:pPr marL="0" marR="0" lvl="0" indent="0" algn="l" defTabSz="710916" rtl="0" eaLnBrk="1" fontAlgn="auto" latinLnBrk="0" hangingPunct="1">
                <a:lnSpc>
                  <a:spcPct val="90000"/>
                </a:lnSpc>
                <a:spcBef>
                  <a:spcPts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en-IN" sz="1400" b="1" i="1" u="none" strike="noStrike" kern="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cxnSp macro="">
          <xdr:nvCxnSpPr>
            <xdr:cNvPr id="59" name="Straight Connector 58">
              <a:extLst>
                <a:ext uri="{FF2B5EF4-FFF2-40B4-BE49-F238E27FC236}">
                  <a16:creationId xmlns:a16="http://schemas.microsoft.com/office/drawing/2014/main" xmlns="" id="{00000000-0008-0000-0900-00003B000000}"/>
                </a:ext>
              </a:extLst>
            </xdr:cNvPr>
            <xdr:cNvCxnSpPr>
              <a:cxnSpLocks/>
            </xdr:cNvCxnSpPr>
          </xdr:nvCxnSpPr>
          <xdr:spPr>
            <a:xfrm>
              <a:off x="459611" y="1087147"/>
              <a:ext cx="1435070" cy="15789"/>
            </a:xfrm>
            <a:prstGeom prst="line">
              <a:avLst/>
            </a:prstGeom>
            <a:noFill/>
            <a:ln w="76200" cap="flat" cmpd="sng" algn="ctr">
              <a:solidFill>
                <a:srgbClr val="92D050"/>
              </a:solidFill>
              <a:prstDash val="solid"/>
            </a:ln>
            <a:effectLst/>
          </xdr:spPr>
        </xdr:cxnSp>
      </xdr:grpSp>
      <xdr:sp macro="" textlink="$C$10">
        <xdr:nvSpPr>
          <xdr:cNvPr id="55" name="TextBox 133">
            <a:extLst>
              <a:ext uri="{FF2B5EF4-FFF2-40B4-BE49-F238E27FC236}">
                <a16:creationId xmlns:a16="http://schemas.microsoft.com/office/drawing/2014/main" xmlns="" id="{00000000-0008-0000-0900-000037000000}"/>
              </a:ext>
            </a:extLst>
          </xdr:cNvPr>
          <xdr:cNvSpPr txBox="1"/>
        </xdr:nvSpPr>
        <xdr:spPr>
          <a:xfrm>
            <a:off x="2853852" y="3116595"/>
            <a:ext cx="1474305" cy="46801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B768B141-5643-46F4-AED2-51374A0D5C9E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119 hrs</a:t>
            </a:fld>
            <a:endParaRPr kumimoji="0" lang="en-US" sz="4800" b="1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ea typeface="+mn-ea"/>
              <a:cs typeface="+mn-cs"/>
            </a:endParaRPr>
          </a:p>
        </xdr:txBody>
      </xdr:sp>
      <xdr:sp macro="" textlink="">
        <xdr:nvSpPr>
          <xdr:cNvPr id="56" name="TextBox 134">
            <a:extLst>
              <a:ext uri="{FF2B5EF4-FFF2-40B4-BE49-F238E27FC236}">
                <a16:creationId xmlns:a16="http://schemas.microsoft.com/office/drawing/2014/main" xmlns="" id="{00000000-0008-0000-0900-000038000000}"/>
              </a:ext>
            </a:extLst>
          </xdr:cNvPr>
          <xdr:cNvSpPr txBox="1"/>
        </xdr:nvSpPr>
        <xdr:spPr>
          <a:xfrm>
            <a:off x="2644718" y="3841859"/>
            <a:ext cx="1920532" cy="241980"/>
          </a:xfrm>
          <a:prstGeom prst="rect">
            <a:avLst/>
          </a:prstGeom>
          <a:noFill/>
        </xdr:spPr>
        <xdr:txBody>
          <a:bodyPr wrap="square" lIns="36000" tIns="36000" rIns="36000" bIns="36000" rtlCol="0" anchor="ctr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>
              <a:defRPr/>
            </a:pPr>
            <a:r>
              <a:rPr lang="en-US" sz="1000">
                <a:solidFill>
                  <a:prstClr val="black"/>
                </a:solidFill>
              </a:rPr>
              <a:t>35 (Crit/High) - </a:t>
            </a:r>
            <a:r>
              <a:rPr lang="en-US" sz="1100">
                <a:solidFill>
                  <a:prstClr val="black"/>
                </a:solidFill>
              </a:rPr>
              <a:t>SWAT</a:t>
            </a:r>
            <a:r>
              <a:rPr lang="en-US" sz="1000">
                <a:solidFill>
                  <a:prstClr val="black"/>
                </a:solidFill>
              </a:rPr>
              <a:t>/CRIS, RC- 3</a:t>
            </a:r>
          </a:p>
        </xdr:txBody>
      </xdr:sp>
      <xdr:sp macro="" textlink="$C$9">
        <xdr:nvSpPr>
          <xdr:cNvPr id="57" name="TextBox 66">
            <a:extLst>
              <a:ext uri="{FF2B5EF4-FFF2-40B4-BE49-F238E27FC236}">
                <a16:creationId xmlns:a16="http://schemas.microsoft.com/office/drawing/2014/main" xmlns="" id="{00000000-0008-0000-0900-000039000000}"/>
              </a:ext>
            </a:extLst>
          </xdr:cNvPr>
          <xdr:cNvSpPr txBox="1"/>
        </xdr:nvSpPr>
        <xdr:spPr>
          <a:xfrm>
            <a:off x="381825" y="3116137"/>
            <a:ext cx="1683437" cy="46801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E779FED-7A61-49C0-A0B3-EF096ADEE3C9}" type="TxLink">
              <a:rPr kumimoji="0" lang="en-US" sz="2400" b="1" i="0" u="none" strike="noStrike" kern="1200" cap="none" spc="0" normalizeH="0" baseline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+mn-ea"/>
                <a:cs typeface="Calibri"/>
              </a:rPr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99.99%</a:t>
            </a:fld>
            <a:endParaRPr kumimoji="0" lang="en-US" sz="2800" b="1" u="none" strike="noStrike" kern="1200" cap="none" spc="0" normalizeH="0" baseline="30000">
              <a:ln>
                <a:noFill/>
              </a:ln>
              <a:effectLst/>
              <a:uLnTx/>
              <a:uFillTx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5</xdr:col>
      <xdr:colOff>323851</xdr:colOff>
      <xdr:row>14</xdr:row>
      <xdr:rowOff>161925</xdr:rowOff>
    </xdr:from>
    <xdr:to>
      <xdr:col>8</xdr:col>
      <xdr:colOff>133351</xdr:colOff>
      <xdr:row>16</xdr:row>
      <xdr:rowOff>9525</xdr:rowOff>
    </xdr:to>
    <xdr:sp macro="" textlink="">
      <xdr:nvSpPr>
        <xdr:cNvPr id="64" name="TextBox 66">
          <a:extLst>
            <a:ext uri="{FF2B5EF4-FFF2-40B4-BE49-F238E27FC236}">
              <a16:creationId xmlns:a16="http://schemas.microsoft.com/office/drawing/2014/main" xmlns="" id="{00000000-0008-0000-0900-000040000000}"/>
            </a:ext>
          </a:extLst>
        </xdr:cNvPr>
        <xdr:cNvSpPr txBox="1"/>
      </xdr:nvSpPr>
      <xdr:spPr>
        <a:xfrm>
          <a:off x="3371851" y="2828925"/>
          <a:ext cx="1638300" cy="228600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/>
            <a:t>(as of 02/08/19)</a:t>
          </a:r>
          <a:r>
            <a:rPr kumimoji="0" lang="en-US" sz="1000" b="1" u="none" strike="noStrike" kern="1200" cap="none" spc="0" normalizeH="0" baseline="0">
              <a:ln>
                <a:noFill/>
              </a:ln>
              <a:effectLst/>
              <a:uLnTx/>
              <a:uFillTx/>
              <a:ea typeface="+mn-ea"/>
              <a:cs typeface="+mn-cs"/>
            </a:rPr>
            <a:t> </a:t>
          </a:r>
          <a:endParaRPr kumimoji="0" lang="en-US" sz="1200" b="1" u="none" strike="noStrike" kern="1200" cap="none" spc="0" normalizeH="0" baseline="30000">
            <a:ln>
              <a:noFill/>
            </a:ln>
            <a:effectLst/>
            <a:uLnTx/>
            <a:uFillTx/>
            <a:ea typeface="+mn-ea"/>
            <a:cs typeface="+mn-cs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query" backgroundRefresh="0" connectionId="4" autoFormatId="16" applyNumberFormats="0" applyBorderFormats="0" applyFontFormats="0" applyPatternFormats="0" applyAlignmentFormats="0" applyWidthHeightFormats="0">
  <queryTableRefresh nextId="4">
    <queryTableFields count="1">
      <queryTableField id="1" name="Title" tableColumnId="1"/>
    </queryTableFields>
    <queryTableDeletedFields count="2">
      <deletedField name="Item Type"/>
      <deletedField name="Path"/>
    </queryTableDeletedFields>
  </queryTableRefresh>
</queryTable>
</file>

<file path=xl/queryTables/queryTable2.xml><?xml version="1.0" encoding="utf-8"?>
<queryTable xmlns="http://schemas.openxmlformats.org/spreadsheetml/2006/main" name="query" backgroundRefresh="0" connectionId="3" autoFormatId="16" applyNumberFormats="0" applyBorderFormats="0" applyFontFormats="0" applyPatternFormats="0" applyAlignmentFormats="0" applyWidthHeightFormats="0">
  <queryTableRefresh nextId="5">
    <queryTableFields count="2">
      <queryTableField id="1" name="Sub Team" tableColumnId="1"/>
      <queryTableField id="2" name="Parent Team" tableColumnId="2"/>
    </queryTableFields>
    <queryTableDeletedFields count="2">
      <deletedField name="Item Type"/>
      <deletedField name="Path"/>
    </queryTableDeletedFields>
  </queryTableRefresh>
</queryTable>
</file>

<file path=xl/queryTables/queryTable3.xml><?xml version="1.0" encoding="utf-8"?>
<queryTable xmlns="http://schemas.openxmlformats.org/spreadsheetml/2006/main" name="query" backgroundRefresh="0" connectionId="1" autoFormatId="16" applyNumberFormats="0" applyBorderFormats="0" applyFontFormats="0" applyPatternFormats="0" applyAlignmentFormats="0" applyWidthHeightFormats="0">
  <queryTableRefresh nextId="6">
    <queryTableFields count="3">
      <queryTableField id="1" name="Title" tableColumnId="1"/>
      <queryTableField id="2" name="Unit" tableColumnId="2"/>
      <queryTableField id="3" name="Category" tableColumnId="3"/>
    </queryTableFields>
    <queryTableDeletedFields count="2">
      <deletedField name="Item Type"/>
      <deletedField name="Path"/>
    </queryTableDeletedFields>
  </queryTableRefresh>
</queryTable>
</file>

<file path=xl/queryTables/queryTable4.xml><?xml version="1.0" encoding="utf-8"?>
<queryTable xmlns="http://schemas.openxmlformats.org/spreadsheetml/2006/main" name="query" backgroundRefresh="0" connectionId="2" autoFormatId="16" applyNumberFormats="0" applyBorderFormats="0" applyFontFormats="0" applyPatternFormats="0" applyAlignmentFormats="0" applyWidthHeightFormats="0">
  <queryTableRefresh nextId="12">
    <queryTableFields count="8">
      <queryTableField id="2" name="Team" tableColumnId="1"/>
      <queryTableField id="7" name="Date" tableColumnId="2"/>
      <queryTableField id="3" name="Sub Team" tableColumnId="3"/>
      <queryTableField id="4" name="Metrics" tableColumnId="4"/>
      <queryTableField id="5" name="Metrics:Category" tableColumnId="5"/>
      <queryTableField id="6" name="Metrics:Unit" tableColumnId="6"/>
      <queryTableField id="8" name="Metric value" tableColumnId="7"/>
      <queryTableField id="1" name="Comments" tableColumnId="8"/>
    </queryTableFields>
    <queryTableDeletedFields count="3">
      <deletedField name="Priority"/>
      <deletedField name="Item Type"/>
      <deletedField name="Path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5" name="Table_query6" displayName="Table_query6" ref="A1:A5" tableType="queryTable" totalsRowShown="0">
  <autoFilter ref="A1:A5"/>
  <tableColumns count="1">
    <tableColumn id="1" uniqueName="Title" name="Title" queryTableFieldId="1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_query5" displayName="Table_query5" ref="A1:B8" tableType="queryTable" totalsRowShown="0">
  <autoFilter ref="A1:B8"/>
  <tableColumns count="2">
    <tableColumn id="1" uniqueName="Title" name="Sub Team" queryTableFieldId="1" dataDxfId="12"/>
    <tableColumn id="2" uniqueName="Parent_x005f_x0020_Team" name="Parent Team" queryTableFieldId="2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e_query" displayName="Table_query" ref="A1:C25" tableType="queryTable" totalsRowShown="0">
  <autoFilter ref="A1:C25"/>
  <tableColumns count="3">
    <tableColumn id="1" uniqueName="Title" name="Title" queryTableFieldId="1" dataDxfId="10"/>
    <tableColumn id="2" uniqueName="l27r" name="Unit" queryTableFieldId="2" dataDxfId="9"/>
    <tableColumn id="3" uniqueName="nbqj" name="Category" queryTableFieldId="3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le_query3" displayName="Table_query3" ref="A1:H766" tableType="queryTable" totalsRowShown="0">
  <autoFilter ref="A1:H766">
    <filterColumn colId="0">
      <filters>
        <filter val="KPHC Environment Support"/>
      </filters>
    </filterColumn>
  </autoFilter>
  <tableColumns count="8">
    <tableColumn id="1" uniqueName="Team" name="Team" queryTableFieldId="2" dataDxfId="7"/>
    <tableColumn id="2" uniqueName="Date" name="Date" queryTableFieldId="7" dataDxfId="6"/>
    <tableColumn id="3" uniqueName="Sub_x005f_x0020_Team" name="Sub Team" queryTableFieldId="3" dataDxfId="5"/>
    <tableColumn id="4" uniqueName="Metrics" name="Metrics" queryTableFieldId="4" dataDxfId="4"/>
    <tableColumn id="5" uniqueName="Metrics_x005f_x003a_Category" name="Metrics:Category" queryTableFieldId="5" dataDxfId="3"/>
    <tableColumn id="6" uniqueName="Metrics_x005f_x003a_Unit" name="Metrics:Unit" queryTableFieldId="6" dataDxfId="2"/>
    <tableColumn id="7" uniqueName="Metric_x005f_x0020_value" name="Metric value" queryTableFieldId="8" dataDxfId="1"/>
    <tableColumn id="8" uniqueName="Title" name="Comments" queryTableFieldId="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activeCell="K9" sqref="K9"/>
    </sheetView>
  </sheetViews>
  <sheetFormatPr defaultRowHeight="15" x14ac:dyDescent="0.25"/>
  <cols>
    <col min="1" max="1" width="25.5703125" bestFit="1" customWidth="1"/>
  </cols>
  <sheetData>
    <row r="1" spans="1:1" x14ac:dyDescent="0.25">
      <c r="A1" t="s">
        <v>4</v>
      </c>
    </row>
    <row r="2" spans="1:1" x14ac:dyDescent="0.25">
      <c r="A2" s="1" t="s">
        <v>3</v>
      </c>
    </row>
    <row r="3" spans="1:1" x14ac:dyDescent="0.25">
      <c r="A3" s="1" t="s">
        <v>2</v>
      </c>
    </row>
    <row r="4" spans="1:1" x14ac:dyDescent="0.25">
      <c r="A4" s="1" t="s">
        <v>1</v>
      </c>
    </row>
    <row r="5" spans="1:1" x14ac:dyDescent="0.25">
      <c r="A5" s="1" t="s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workbookViewId="0">
      <selection activeCell="C1" sqref="C1:D1048576"/>
    </sheetView>
  </sheetViews>
  <sheetFormatPr defaultRowHeight="15" x14ac:dyDescent="0.25"/>
  <cols>
    <col min="1" max="1" width="16.42578125" bestFit="1" customWidth="1"/>
    <col min="2" max="2" width="25.5703125" bestFit="1" customWidth="1"/>
  </cols>
  <sheetData>
    <row r="1" spans="1:2" x14ac:dyDescent="0.25">
      <c r="A1" t="s">
        <v>13</v>
      </c>
      <c r="B1" t="s">
        <v>12</v>
      </c>
    </row>
    <row r="2" spans="1:2" x14ac:dyDescent="0.25">
      <c r="A2" s="1" t="s">
        <v>11</v>
      </c>
      <c r="B2" s="1" t="s">
        <v>3</v>
      </c>
    </row>
    <row r="3" spans="1:2" x14ac:dyDescent="0.25">
      <c r="A3" s="1" t="s">
        <v>10</v>
      </c>
      <c r="B3" s="1" t="s">
        <v>3</v>
      </c>
    </row>
    <row r="4" spans="1:2" x14ac:dyDescent="0.25">
      <c r="A4" s="1" t="s">
        <v>9</v>
      </c>
      <c r="B4" s="1" t="s">
        <v>3</v>
      </c>
    </row>
    <row r="5" spans="1:2" x14ac:dyDescent="0.25">
      <c r="A5" s="1" t="s">
        <v>8</v>
      </c>
      <c r="B5" s="1" t="s">
        <v>1</v>
      </c>
    </row>
    <row r="6" spans="1:2" x14ac:dyDescent="0.25">
      <c r="A6" s="1" t="s">
        <v>7</v>
      </c>
      <c r="B6" s="1" t="s">
        <v>1</v>
      </c>
    </row>
    <row r="7" spans="1:2" x14ac:dyDescent="0.25">
      <c r="A7" s="1" t="s">
        <v>6</v>
      </c>
      <c r="B7" s="1" t="s">
        <v>1</v>
      </c>
    </row>
    <row r="8" spans="1:2" x14ac:dyDescent="0.25">
      <c r="A8" s="1" t="s">
        <v>5</v>
      </c>
      <c r="B8" s="1" t="s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5"/>
  <sheetViews>
    <sheetView workbookViewId="0">
      <selection activeCell="A19" sqref="A19"/>
    </sheetView>
  </sheetViews>
  <sheetFormatPr defaultRowHeight="15" x14ac:dyDescent="0.25"/>
  <cols>
    <col min="1" max="1" width="35.28515625" bestFit="1" customWidth="1"/>
    <col min="2" max="2" width="7.140625" bestFit="1" customWidth="1"/>
    <col min="3" max="3" width="23.85546875" bestFit="1" customWidth="1"/>
  </cols>
  <sheetData>
    <row r="1" spans="1:3" x14ac:dyDescent="0.25">
      <c r="A1" t="s">
        <v>4</v>
      </c>
      <c r="B1" t="s">
        <v>46</v>
      </c>
      <c r="C1" t="s">
        <v>45</v>
      </c>
    </row>
    <row r="2" spans="1:3" x14ac:dyDescent="0.25">
      <c r="A2" s="1" t="s">
        <v>44</v>
      </c>
      <c r="B2" s="1" t="s">
        <v>18</v>
      </c>
      <c r="C2" s="1" t="s">
        <v>22</v>
      </c>
    </row>
    <row r="3" spans="1:3" x14ac:dyDescent="0.25">
      <c r="A3" s="1" t="s">
        <v>43</v>
      </c>
      <c r="B3" s="1" t="s">
        <v>18</v>
      </c>
      <c r="C3" s="1" t="s">
        <v>22</v>
      </c>
    </row>
    <row r="4" spans="1:3" x14ac:dyDescent="0.25">
      <c r="A4" s="1" t="s">
        <v>42</v>
      </c>
      <c r="B4" s="1" t="s">
        <v>18</v>
      </c>
      <c r="C4" s="1" t="s">
        <v>22</v>
      </c>
    </row>
    <row r="5" spans="1:3" x14ac:dyDescent="0.25">
      <c r="A5" s="1" t="s">
        <v>41</v>
      </c>
      <c r="B5" s="1" t="s">
        <v>18</v>
      </c>
      <c r="C5" s="1" t="s">
        <v>22</v>
      </c>
    </row>
    <row r="6" spans="1:3" x14ac:dyDescent="0.25">
      <c r="A6" s="1" t="s">
        <v>40</v>
      </c>
      <c r="B6" s="1" t="s">
        <v>18</v>
      </c>
      <c r="C6" s="1" t="s">
        <v>40</v>
      </c>
    </row>
    <row r="7" spans="1:3" x14ac:dyDescent="0.25">
      <c r="A7" s="1" t="s">
        <v>39</v>
      </c>
      <c r="B7" s="1" t="s">
        <v>20</v>
      </c>
      <c r="C7" s="1" t="s">
        <v>25</v>
      </c>
    </row>
    <row r="8" spans="1:3" x14ac:dyDescent="0.25">
      <c r="A8" s="1" t="s">
        <v>38</v>
      </c>
      <c r="B8" s="1" t="s">
        <v>18</v>
      </c>
      <c r="C8" s="1" t="s">
        <v>37</v>
      </c>
    </row>
    <row r="9" spans="1:3" x14ac:dyDescent="0.25">
      <c r="A9" s="1" t="s">
        <v>36</v>
      </c>
      <c r="B9" s="1" t="s">
        <v>15</v>
      </c>
      <c r="C9" s="1" t="s">
        <v>17</v>
      </c>
    </row>
    <row r="10" spans="1:3" x14ac:dyDescent="0.25">
      <c r="A10" s="1" t="s">
        <v>35</v>
      </c>
      <c r="B10" s="1" t="s">
        <v>18</v>
      </c>
      <c r="C10" s="1" t="s">
        <v>17</v>
      </c>
    </row>
    <row r="11" spans="1:3" x14ac:dyDescent="0.25">
      <c r="A11" s="1" t="s">
        <v>87</v>
      </c>
      <c r="B11" s="1" t="s">
        <v>18</v>
      </c>
      <c r="C11" s="1" t="s">
        <v>31</v>
      </c>
    </row>
    <row r="12" spans="1:3" x14ac:dyDescent="0.25">
      <c r="A12" s="1" t="s">
        <v>70</v>
      </c>
      <c r="B12" s="1" t="s">
        <v>18</v>
      </c>
      <c r="C12" s="1" t="s">
        <v>31</v>
      </c>
    </row>
    <row r="13" spans="1:3" x14ac:dyDescent="0.25">
      <c r="A13" s="1" t="s">
        <v>72</v>
      </c>
      <c r="B13" s="1" t="s">
        <v>18</v>
      </c>
      <c r="C13" s="1" t="s">
        <v>31</v>
      </c>
    </row>
    <row r="14" spans="1:3" x14ac:dyDescent="0.25">
      <c r="A14" s="1" t="s">
        <v>86</v>
      </c>
      <c r="B14" s="1" t="s">
        <v>18</v>
      </c>
      <c r="C14" s="1" t="s">
        <v>14</v>
      </c>
    </row>
    <row r="15" spans="1:3" x14ac:dyDescent="0.25">
      <c r="A15" s="1" t="s">
        <v>30</v>
      </c>
      <c r="B15" s="1" t="s">
        <v>15</v>
      </c>
      <c r="C15" s="1" t="s">
        <v>14</v>
      </c>
    </row>
    <row r="16" spans="1:3" x14ac:dyDescent="0.25">
      <c r="A16" s="1" t="s">
        <v>29</v>
      </c>
      <c r="B16" s="1" t="s">
        <v>15</v>
      </c>
      <c r="C16" s="1" t="s">
        <v>14</v>
      </c>
    </row>
    <row r="17" spans="1:3" x14ac:dyDescent="0.25">
      <c r="A17" s="1" t="s">
        <v>28</v>
      </c>
      <c r="B17" s="1" t="s">
        <v>18</v>
      </c>
      <c r="C17" s="1" t="s">
        <v>25</v>
      </c>
    </row>
    <row r="18" spans="1:3" x14ac:dyDescent="0.25">
      <c r="A18" s="1" t="s">
        <v>27</v>
      </c>
      <c r="B18" s="1" t="s">
        <v>18</v>
      </c>
      <c r="C18" s="1" t="s">
        <v>25</v>
      </c>
    </row>
    <row r="19" spans="1:3" x14ac:dyDescent="0.25">
      <c r="A19" s="1" t="s">
        <v>26</v>
      </c>
      <c r="B19" s="1" t="s">
        <v>18</v>
      </c>
      <c r="C19" s="1" t="s">
        <v>25</v>
      </c>
    </row>
    <row r="20" spans="1:3" x14ac:dyDescent="0.25">
      <c r="A20" s="1" t="s">
        <v>24</v>
      </c>
      <c r="B20" s="1" t="s">
        <v>15</v>
      </c>
      <c r="C20" s="1" t="s">
        <v>22</v>
      </c>
    </row>
    <row r="21" spans="1:3" x14ac:dyDescent="0.25">
      <c r="A21" s="1" t="s">
        <v>23</v>
      </c>
      <c r="B21" s="1" t="s">
        <v>15</v>
      </c>
      <c r="C21" s="1" t="s">
        <v>22</v>
      </c>
    </row>
    <row r="22" spans="1:3" x14ac:dyDescent="0.25">
      <c r="A22" s="1" t="s">
        <v>21</v>
      </c>
      <c r="B22" s="1" t="s">
        <v>20</v>
      </c>
      <c r="C22" s="1" t="s">
        <v>14</v>
      </c>
    </row>
    <row r="23" spans="1:3" x14ac:dyDescent="0.25">
      <c r="A23" s="1" t="s">
        <v>19</v>
      </c>
      <c r="B23" s="1" t="s">
        <v>18</v>
      </c>
      <c r="C23" s="1" t="s">
        <v>17</v>
      </c>
    </row>
    <row r="24" spans="1:3" x14ac:dyDescent="0.25">
      <c r="A24" s="1" t="s">
        <v>16</v>
      </c>
      <c r="B24" s="1" t="s">
        <v>15</v>
      </c>
      <c r="C24" s="1" t="s">
        <v>14</v>
      </c>
    </row>
    <row r="25" spans="1:3" x14ac:dyDescent="0.25">
      <c r="A25" s="1" t="s">
        <v>85</v>
      </c>
      <c r="B25" s="1" t="s">
        <v>15</v>
      </c>
      <c r="C25" s="1" t="s">
        <v>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"/>
  <sheetViews>
    <sheetView workbookViewId="0"/>
  </sheetViews>
  <sheetFormatPr defaultRowHeight="15" x14ac:dyDescent="0.25"/>
  <sheetData>
    <row r="1" spans="1:7" x14ac:dyDescent="0.25">
      <c r="A1" s="3" t="s">
        <v>51</v>
      </c>
      <c r="B1" s="3" t="s">
        <v>13</v>
      </c>
      <c r="C1" s="3" t="s">
        <v>50</v>
      </c>
      <c r="D1" s="3" t="s">
        <v>49</v>
      </c>
      <c r="E1" s="3" t="s">
        <v>48</v>
      </c>
      <c r="F1" s="3" t="s">
        <v>47</v>
      </c>
      <c r="G1" s="2" t="s">
        <v>52</v>
      </c>
    </row>
    <row r="2" spans="1:7" x14ac:dyDescent="0.25">
      <c r="A2" t="s">
        <v>3</v>
      </c>
      <c r="B2" t="s">
        <v>10</v>
      </c>
      <c r="C2" t="s">
        <v>44</v>
      </c>
      <c r="D2" t="e">
        <f>VLOOKUP(C2,#REF!,3,0)</f>
        <v>#REF!</v>
      </c>
      <c r="E2" t="e">
        <f>VLOOKUP(C2,#REF!,2,0)</f>
        <v>#REF!</v>
      </c>
      <c r="F2" s="4">
        <v>43435</v>
      </c>
      <c r="G2">
        <v>100</v>
      </c>
    </row>
    <row r="3" spans="1:7" x14ac:dyDescent="0.25">
      <c r="A3" t="s">
        <v>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66"/>
  <sheetViews>
    <sheetView tabSelected="1" zoomScale="93" zoomScaleNormal="93" workbookViewId="0"/>
  </sheetViews>
  <sheetFormatPr defaultRowHeight="15" x14ac:dyDescent="0.25"/>
  <cols>
    <col min="1" max="1" width="32.42578125" customWidth="1"/>
    <col min="2" max="2" width="17.5703125" customWidth="1"/>
    <col min="3" max="3" width="11.85546875" bestFit="1" customWidth="1"/>
    <col min="4" max="4" width="44.85546875" customWidth="1"/>
    <col min="5" max="5" width="23.85546875" bestFit="1" customWidth="1"/>
    <col min="6" max="6" width="19.28515625" customWidth="1"/>
    <col min="7" max="7" width="18.5703125" customWidth="1"/>
    <col min="8" max="8" width="12.85546875" bestFit="1" customWidth="1"/>
  </cols>
  <sheetData>
    <row r="1" spans="1:8" x14ac:dyDescent="0.25">
      <c r="A1" t="s">
        <v>51</v>
      </c>
      <c r="B1" t="s">
        <v>47</v>
      </c>
      <c r="C1" t="s">
        <v>13</v>
      </c>
      <c r="D1" t="s">
        <v>50</v>
      </c>
      <c r="E1" t="s">
        <v>49</v>
      </c>
      <c r="F1" t="s">
        <v>48</v>
      </c>
      <c r="G1" t="s">
        <v>69</v>
      </c>
      <c r="H1" t="s">
        <v>68</v>
      </c>
    </row>
    <row r="2" spans="1:8" hidden="1" x14ac:dyDescent="0.25">
      <c r="A2" s="1" t="s">
        <v>1</v>
      </c>
      <c r="B2" s="4">
        <v>43466</v>
      </c>
      <c r="C2" s="1"/>
      <c r="D2" s="1" t="s">
        <v>42</v>
      </c>
      <c r="E2" t="str">
        <f>VLOOKUP(Table_query3[[#This Row],[Metrics]],Metrics!A:C,3,0)</f>
        <v>Incident</v>
      </c>
      <c r="F2" t="str">
        <f>VLOOKUP(Table_query3[[#This Row],[Metrics]],Metrics!A:C,2,0)</f>
        <v>%</v>
      </c>
      <c r="G2">
        <v>100</v>
      </c>
      <c r="H2" s="1"/>
    </row>
    <row r="3" spans="1:8" hidden="1" x14ac:dyDescent="0.25">
      <c r="A3" s="1" t="s">
        <v>1</v>
      </c>
      <c r="B3" s="4">
        <v>43466</v>
      </c>
      <c r="C3" s="1"/>
      <c r="D3" s="1" t="s">
        <v>41</v>
      </c>
      <c r="E3" t="str">
        <f>VLOOKUP(Table_query3[[#This Row],[Metrics]],Metrics!A:C,3,0)</f>
        <v>Incident</v>
      </c>
      <c r="F3" t="str">
        <f>VLOOKUP(Table_query3[[#This Row],[Metrics]],Metrics!A:C,2,0)</f>
        <v>%</v>
      </c>
      <c r="G3">
        <v>100</v>
      </c>
      <c r="H3" s="1"/>
    </row>
    <row r="4" spans="1:8" x14ac:dyDescent="0.25">
      <c r="A4" s="1" t="s">
        <v>3</v>
      </c>
      <c r="B4" s="4">
        <v>43497</v>
      </c>
      <c r="C4" s="1"/>
      <c r="D4" s="1" t="s">
        <v>42</v>
      </c>
      <c r="E4" t="str">
        <f>VLOOKUP(Table_query3[[#This Row],[Metrics]],Metrics!A:C,3,0)</f>
        <v>Incident</v>
      </c>
      <c r="F4" t="str">
        <f>VLOOKUP(Table_query3[[#This Row],[Metrics]],Metrics!A:C,2,0)</f>
        <v>%</v>
      </c>
      <c r="G4">
        <v>100</v>
      </c>
      <c r="H4" s="1"/>
    </row>
    <row r="5" spans="1:8" x14ac:dyDescent="0.25">
      <c r="A5" s="1" t="s">
        <v>3</v>
      </c>
      <c r="B5" s="4">
        <v>43497</v>
      </c>
      <c r="C5" s="1"/>
      <c r="D5" s="1" t="s">
        <v>41</v>
      </c>
      <c r="E5" t="str">
        <f>VLOOKUP(Table_query3[[#This Row],[Metrics]],Metrics!A:C,3,0)</f>
        <v>Incident</v>
      </c>
      <c r="F5" t="str">
        <f>VLOOKUP(Table_query3[[#This Row],[Metrics]],Metrics!A:C,2,0)</f>
        <v>%</v>
      </c>
      <c r="G5">
        <v>100</v>
      </c>
      <c r="H5" s="1"/>
    </row>
    <row r="6" spans="1:8" hidden="1" x14ac:dyDescent="0.25">
      <c r="A6" s="1" t="s">
        <v>0</v>
      </c>
      <c r="B6" s="4">
        <v>43497</v>
      </c>
      <c r="C6" s="1"/>
      <c r="D6" s="1" t="s">
        <v>42</v>
      </c>
      <c r="E6" t="str">
        <f>VLOOKUP(Table_query3[[#This Row],[Metrics]],Metrics!A:C,3,0)</f>
        <v>Incident</v>
      </c>
      <c r="F6" t="str">
        <f>VLOOKUP(Table_query3[[#This Row],[Metrics]],Metrics!A:C,2,0)</f>
        <v>%</v>
      </c>
      <c r="G6">
        <v>100</v>
      </c>
      <c r="H6" s="1"/>
    </row>
    <row r="7" spans="1:8" hidden="1" x14ac:dyDescent="0.25">
      <c r="A7" s="1" t="s">
        <v>0</v>
      </c>
      <c r="B7" s="4">
        <v>43497</v>
      </c>
      <c r="C7" s="1"/>
      <c r="D7" s="1" t="s">
        <v>41</v>
      </c>
      <c r="E7" t="str">
        <f>VLOOKUP(Table_query3[[#This Row],[Metrics]],Metrics!A:C,3,0)</f>
        <v>Incident</v>
      </c>
      <c r="F7" t="str">
        <f>VLOOKUP(Table_query3[[#This Row],[Metrics]],Metrics!A:C,2,0)</f>
        <v>%</v>
      </c>
      <c r="G7">
        <v>100</v>
      </c>
      <c r="H7" s="1"/>
    </row>
    <row r="8" spans="1:8" hidden="1" x14ac:dyDescent="0.25">
      <c r="A8" s="1" t="s">
        <v>2</v>
      </c>
      <c r="B8" s="4">
        <v>43466</v>
      </c>
      <c r="C8" s="1"/>
      <c r="D8" s="1" t="s">
        <v>28</v>
      </c>
      <c r="E8" t="str">
        <f>VLOOKUP(Table_query3[[#This Row],[Metrics]],Metrics!A:C,3,0)</f>
        <v>Others</v>
      </c>
      <c r="F8" t="str">
        <f>VLOOKUP(Table_query3[[#This Row],[Metrics]],Metrics!A:C,2,0)</f>
        <v>%</v>
      </c>
      <c r="G8">
        <v>100</v>
      </c>
      <c r="H8" s="1"/>
    </row>
    <row r="9" spans="1:8" hidden="1" x14ac:dyDescent="0.25">
      <c r="A9" s="1" t="s">
        <v>2</v>
      </c>
      <c r="B9" s="4">
        <v>43466</v>
      </c>
      <c r="C9" s="1"/>
      <c r="D9" s="1" t="s">
        <v>27</v>
      </c>
      <c r="E9" t="str">
        <f>VLOOKUP(Table_query3[[#This Row],[Metrics]],Metrics!A:C,3,0)</f>
        <v>Others</v>
      </c>
      <c r="F9" t="str">
        <f>VLOOKUP(Table_query3[[#This Row],[Metrics]],Metrics!A:C,2,0)</f>
        <v>%</v>
      </c>
      <c r="G9">
        <v>100</v>
      </c>
      <c r="H9" s="1"/>
    </row>
    <row r="10" spans="1:8" hidden="1" x14ac:dyDescent="0.25">
      <c r="A10" s="1" t="s">
        <v>1</v>
      </c>
      <c r="B10" s="4">
        <v>43466</v>
      </c>
      <c r="C10" s="1"/>
      <c r="D10" s="1" t="s">
        <v>85</v>
      </c>
      <c r="E10" t="str">
        <f>VLOOKUP(Table_query3[[#This Row],[Metrics]],Metrics!A:C,3,0)</f>
        <v>Incidents</v>
      </c>
      <c r="F10" t="str">
        <f>VLOOKUP(Table_query3[[#This Row],[Metrics]],Metrics!A:C,2,0)</f>
        <v>Count</v>
      </c>
      <c r="G10">
        <v>0</v>
      </c>
      <c r="H10" s="1"/>
    </row>
    <row r="11" spans="1:8" hidden="1" x14ac:dyDescent="0.25">
      <c r="A11" s="1" t="s">
        <v>1</v>
      </c>
      <c r="B11" s="4">
        <v>43466</v>
      </c>
      <c r="C11" s="1"/>
      <c r="D11" s="1" t="s">
        <v>38</v>
      </c>
      <c r="E11" t="str">
        <f>VLOOKUP(Table_query3[[#This Row],[Metrics]],Metrics!A:C,3,0)</f>
        <v>Work Orders</v>
      </c>
      <c r="F11" t="str">
        <f>VLOOKUP(Table_query3[[#This Row],[Metrics]],Metrics!A:C,2,0)</f>
        <v>%</v>
      </c>
      <c r="G11">
        <v>100</v>
      </c>
      <c r="H11" s="1"/>
    </row>
    <row r="12" spans="1:8" x14ac:dyDescent="0.25">
      <c r="A12" s="1" t="s">
        <v>3</v>
      </c>
      <c r="B12" s="4">
        <v>43497</v>
      </c>
      <c r="C12" s="1"/>
      <c r="D12" s="1" t="s">
        <v>44</v>
      </c>
      <c r="E12" t="str">
        <f>VLOOKUP(Table_query3[[#This Row],[Metrics]],Metrics!A:C,3,0)</f>
        <v>Incident</v>
      </c>
      <c r="F12" t="str">
        <f>VLOOKUP(Table_query3[[#This Row],[Metrics]],Metrics!A:C,2,0)</f>
        <v>%</v>
      </c>
      <c r="G12">
        <v>100</v>
      </c>
      <c r="H12" s="1"/>
    </row>
    <row r="13" spans="1:8" x14ac:dyDescent="0.25">
      <c r="A13" s="1" t="s">
        <v>3</v>
      </c>
      <c r="B13" s="4">
        <v>43497</v>
      </c>
      <c r="C13" s="1"/>
      <c r="D13" s="1" t="s">
        <v>43</v>
      </c>
      <c r="E13" t="str">
        <f>VLOOKUP(Table_query3[[#This Row],[Metrics]],Metrics!A:C,3,0)</f>
        <v>Incident</v>
      </c>
      <c r="F13" t="str">
        <f>VLOOKUP(Table_query3[[#This Row],[Metrics]],Metrics!A:C,2,0)</f>
        <v>%</v>
      </c>
      <c r="G13">
        <v>100</v>
      </c>
      <c r="H13" s="1"/>
    </row>
    <row r="14" spans="1:8" hidden="1" x14ac:dyDescent="0.25">
      <c r="A14" s="1" t="s">
        <v>0</v>
      </c>
      <c r="B14" s="4">
        <v>43466</v>
      </c>
      <c r="C14" s="1"/>
      <c r="D14" s="1" t="s">
        <v>42</v>
      </c>
      <c r="E14" t="str">
        <f>VLOOKUP(Table_query3[[#This Row],[Metrics]],Metrics!A:C,3,0)</f>
        <v>Incident</v>
      </c>
      <c r="F14" t="str">
        <f>VLOOKUP(Table_query3[[#This Row],[Metrics]],Metrics!A:C,2,0)</f>
        <v>%</v>
      </c>
      <c r="G14">
        <v>100</v>
      </c>
      <c r="H14" s="1"/>
    </row>
    <row r="15" spans="1:8" hidden="1" x14ac:dyDescent="0.25">
      <c r="A15" s="1" t="s">
        <v>0</v>
      </c>
      <c r="B15" s="4">
        <v>43466</v>
      </c>
      <c r="C15" s="1"/>
      <c r="D15" s="1" t="s">
        <v>41</v>
      </c>
      <c r="E15" t="str">
        <f>VLOOKUP(Table_query3[[#This Row],[Metrics]],Metrics!A:C,3,0)</f>
        <v>Incident</v>
      </c>
      <c r="F15" t="str">
        <f>VLOOKUP(Table_query3[[#This Row],[Metrics]],Metrics!A:C,2,0)</f>
        <v>%</v>
      </c>
      <c r="G15">
        <v>100</v>
      </c>
      <c r="H15" s="1"/>
    </row>
    <row r="16" spans="1:8" hidden="1" x14ac:dyDescent="0.25">
      <c r="A16" s="1" t="s">
        <v>2</v>
      </c>
      <c r="B16" s="4">
        <v>43466</v>
      </c>
      <c r="C16" s="1"/>
      <c r="D16" s="1" t="s">
        <v>26</v>
      </c>
      <c r="E16" t="str">
        <f>VLOOKUP(Table_query3[[#This Row],[Metrics]],Metrics!A:C,3,0)</f>
        <v>Others</v>
      </c>
      <c r="F16" t="str">
        <f>VLOOKUP(Table_query3[[#This Row],[Metrics]],Metrics!A:C,2,0)</f>
        <v>%</v>
      </c>
      <c r="G16">
        <v>100</v>
      </c>
      <c r="H16" s="1"/>
    </row>
    <row r="17" spans="1:8" hidden="1" x14ac:dyDescent="0.25">
      <c r="A17" s="1" t="s">
        <v>2</v>
      </c>
      <c r="B17" s="4">
        <v>43466</v>
      </c>
      <c r="C17" s="1"/>
      <c r="D17" s="1" t="s">
        <v>70</v>
      </c>
      <c r="E17" t="str">
        <f>VLOOKUP(Table_query3[[#This Row],[Metrics]],Metrics!A:C,3,0)</f>
        <v>Compliance</v>
      </c>
      <c r="F17" t="str">
        <f>VLOOKUP(Table_query3[[#This Row],[Metrics]],Metrics!A:C,2,0)</f>
        <v>%</v>
      </c>
      <c r="G17">
        <v>100</v>
      </c>
      <c r="H17" s="1"/>
    </row>
    <row r="18" spans="1:8" hidden="1" x14ac:dyDescent="0.25">
      <c r="A18" s="1" t="s">
        <v>2</v>
      </c>
      <c r="B18" s="4">
        <v>43466</v>
      </c>
      <c r="C18" s="1"/>
      <c r="D18" s="1" t="s">
        <v>19</v>
      </c>
      <c r="E18" t="str">
        <f>VLOOKUP(Table_query3[[#This Row],[Metrics]],Metrics!A:C,3,0)</f>
        <v>Staffing</v>
      </c>
      <c r="F18" t="str">
        <f>VLOOKUP(Table_query3[[#This Row],[Metrics]],Metrics!A:C,2,0)</f>
        <v>%</v>
      </c>
      <c r="G18">
        <v>23</v>
      </c>
      <c r="H18" s="1" t="s">
        <v>71</v>
      </c>
    </row>
    <row r="19" spans="1:8" hidden="1" x14ac:dyDescent="0.25">
      <c r="A19" s="1" t="s">
        <v>2</v>
      </c>
      <c r="B19" s="4">
        <v>43466</v>
      </c>
      <c r="C19" s="1"/>
      <c r="D19" s="1" t="s">
        <v>19</v>
      </c>
      <c r="E19" t="str">
        <f>VLOOKUP(Table_query3[[#This Row],[Metrics]],Metrics!A:C,3,0)</f>
        <v>Staffing</v>
      </c>
      <c r="F19" t="str">
        <f>VLOOKUP(Table_query3[[#This Row],[Metrics]],Metrics!A:C,2,0)</f>
        <v>%</v>
      </c>
      <c r="G19">
        <v>58</v>
      </c>
      <c r="H19" s="1" t="s">
        <v>89</v>
      </c>
    </row>
    <row r="20" spans="1:8" hidden="1" x14ac:dyDescent="0.25">
      <c r="A20" s="1" t="s">
        <v>2</v>
      </c>
      <c r="B20" s="4">
        <v>43466</v>
      </c>
      <c r="C20" s="1"/>
      <c r="D20" s="1" t="s">
        <v>19</v>
      </c>
      <c r="E20" t="str">
        <f>VLOOKUP(Table_query3[[#This Row],[Metrics]],Metrics!A:C,3,0)</f>
        <v>Staffing</v>
      </c>
      <c r="F20" t="str">
        <f>VLOOKUP(Table_query3[[#This Row],[Metrics]],Metrics!A:C,2,0)</f>
        <v>%</v>
      </c>
      <c r="G20">
        <v>44</v>
      </c>
      <c r="H20" s="1" t="s">
        <v>88</v>
      </c>
    </row>
    <row r="21" spans="1:8" hidden="1" x14ac:dyDescent="0.25">
      <c r="A21" s="1" t="s">
        <v>2</v>
      </c>
      <c r="B21" s="4">
        <v>43466</v>
      </c>
      <c r="C21" s="1"/>
      <c r="D21" s="1" t="s">
        <v>36</v>
      </c>
      <c r="E21" t="str">
        <f>VLOOKUP(Table_query3[[#This Row],[Metrics]],Metrics!A:C,3,0)</f>
        <v>Staffing</v>
      </c>
      <c r="F21" t="str">
        <f>VLOOKUP(Table_query3[[#This Row],[Metrics]],Metrics!A:C,2,0)</f>
        <v>Count</v>
      </c>
      <c r="G21">
        <v>64</v>
      </c>
      <c r="H21" s="1"/>
    </row>
    <row r="22" spans="1:8" hidden="1" x14ac:dyDescent="0.25">
      <c r="A22" s="1" t="s">
        <v>2</v>
      </c>
      <c r="B22" s="4">
        <v>43466</v>
      </c>
      <c r="C22" s="1"/>
      <c r="D22" s="1" t="s">
        <v>35</v>
      </c>
      <c r="E22" t="str">
        <f>VLOOKUP(Table_query3[[#This Row],[Metrics]],Metrics!A:C,3,0)</f>
        <v>Staffing</v>
      </c>
      <c r="F22" t="str">
        <f>VLOOKUP(Table_query3[[#This Row],[Metrics]],Metrics!A:C,2,0)</f>
        <v>%</v>
      </c>
      <c r="G22">
        <v>2</v>
      </c>
      <c r="H22" s="1"/>
    </row>
    <row r="23" spans="1:8" hidden="1" x14ac:dyDescent="0.25">
      <c r="A23" s="1" t="s">
        <v>2</v>
      </c>
      <c r="B23" s="4">
        <v>43466</v>
      </c>
      <c r="C23" s="1"/>
      <c r="D23" s="1" t="s">
        <v>72</v>
      </c>
      <c r="E23" t="str">
        <f>VLOOKUP(Table_query3[[#This Row],[Metrics]],Metrics!A:C,3,0)</f>
        <v>Compliance</v>
      </c>
      <c r="F23" t="str">
        <f>VLOOKUP(Table_query3[[#This Row],[Metrics]],Metrics!A:C,2,0)</f>
        <v>%</v>
      </c>
      <c r="G23">
        <v>97.4</v>
      </c>
      <c r="H23" s="1"/>
    </row>
    <row r="24" spans="1:8" hidden="1" x14ac:dyDescent="0.25">
      <c r="A24" s="1" t="s">
        <v>2</v>
      </c>
      <c r="B24" s="4">
        <v>43466</v>
      </c>
      <c r="C24" s="1"/>
      <c r="D24" s="1" t="s">
        <v>24</v>
      </c>
      <c r="E24" t="str">
        <f>VLOOKUP(Table_query3[[#This Row],[Metrics]],Metrics!A:C,3,0)</f>
        <v>Incident</v>
      </c>
      <c r="F24" t="str">
        <f>VLOOKUP(Table_query3[[#This Row],[Metrics]],Metrics!A:C,2,0)</f>
        <v>Count</v>
      </c>
      <c r="G24">
        <v>0</v>
      </c>
      <c r="H24" s="1"/>
    </row>
    <row r="25" spans="1:8" hidden="1" x14ac:dyDescent="0.25">
      <c r="A25" s="1" t="s">
        <v>2</v>
      </c>
      <c r="B25" s="4">
        <v>43466</v>
      </c>
      <c r="C25" s="1"/>
      <c r="D25" s="1" t="s">
        <v>23</v>
      </c>
      <c r="E25" t="str">
        <f>VLOOKUP(Table_query3[[#This Row],[Metrics]],Metrics!A:C,3,0)</f>
        <v>Incident</v>
      </c>
      <c r="F25" t="str">
        <f>VLOOKUP(Table_query3[[#This Row],[Metrics]],Metrics!A:C,2,0)</f>
        <v>Count</v>
      </c>
      <c r="G25">
        <v>0</v>
      </c>
      <c r="H25" s="1"/>
    </row>
    <row r="26" spans="1:8" hidden="1" x14ac:dyDescent="0.25">
      <c r="A26" s="1" t="s">
        <v>2</v>
      </c>
      <c r="B26" s="4">
        <v>43466</v>
      </c>
      <c r="C26" s="1"/>
      <c r="D26" s="1" t="s">
        <v>21</v>
      </c>
      <c r="E26" t="str">
        <f>VLOOKUP(Table_query3[[#This Row],[Metrics]],Metrics!A:C,3,0)</f>
        <v>Continous Improvements</v>
      </c>
      <c r="F26" t="str">
        <f>VLOOKUP(Table_query3[[#This Row],[Metrics]],Metrics!A:C,2,0)</f>
        <v>Hours</v>
      </c>
      <c r="G26">
        <v>3260</v>
      </c>
      <c r="H26" s="1"/>
    </row>
    <row r="27" spans="1:8" hidden="1" x14ac:dyDescent="0.25">
      <c r="A27" s="1" t="s">
        <v>2</v>
      </c>
      <c r="B27" s="4">
        <v>43466</v>
      </c>
      <c r="C27" s="1"/>
      <c r="D27" s="1" t="s">
        <v>30</v>
      </c>
      <c r="E27" t="str">
        <f>VLOOKUP(Table_query3[[#This Row],[Metrics]],Metrics!A:C,3,0)</f>
        <v>Continous Improvements</v>
      </c>
      <c r="F27" t="str">
        <f>VLOOKUP(Table_query3[[#This Row],[Metrics]],Metrics!A:C,2,0)</f>
        <v>Count</v>
      </c>
      <c r="G27">
        <v>14</v>
      </c>
      <c r="H27" s="1"/>
    </row>
    <row r="28" spans="1:8" hidden="1" x14ac:dyDescent="0.25">
      <c r="A28" s="1" t="s">
        <v>1</v>
      </c>
      <c r="B28" s="4">
        <v>43466</v>
      </c>
      <c r="C28" s="1"/>
      <c r="D28" s="1" t="s">
        <v>19</v>
      </c>
      <c r="E28" t="str">
        <f>VLOOKUP(Table_query3[[#This Row],[Metrics]],Metrics!A:C,3,0)</f>
        <v>Staffing</v>
      </c>
      <c r="F28" t="str">
        <f>VLOOKUP(Table_query3[[#This Row],[Metrics]],Metrics!A:C,2,0)</f>
        <v>%</v>
      </c>
      <c r="G28">
        <v>100</v>
      </c>
      <c r="H28" s="1"/>
    </row>
    <row r="29" spans="1:8" hidden="1" x14ac:dyDescent="0.25">
      <c r="A29" s="1" t="s">
        <v>1</v>
      </c>
      <c r="B29" s="4">
        <v>43466</v>
      </c>
      <c r="C29" s="1"/>
      <c r="D29" s="1" t="s">
        <v>36</v>
      </c>
      <c r="E29" t="str">
        <f>VLOOKUP(Table_query3[[#This Row],[Metrics]],Metrics!A:C,3,0)</f>
        <v>Staffing</v>
      </c>
      <c r="F29" t="str">
        <f>VLOOKUP(Table_query3[[#This Row],[Metrics]],Metrics!A:C,2,0)</f>
        <v>Count</v>
      </c>
      <c r="G29">
        <v>77</v>
      </c>
      <c r="H29" s="1"/>
    </row>
    <row r="30" spans="1:8" hidden="1" x14ac:dyDescent="0.25">
      <c r="A30" s="1" t="s">
        <v>1</v>
      </c>
      <c r="B30" s="4">
        <v>43466</v>
      </c>
      <c r="C30" s="1"/>
      <c r="D30" s="1" t="s">
        <v>35</v>
      </c>
      <c r="E30" t="str">
        <f>VLOOKUP(Table_query3[[#This Row],[Metrics]],Metrics!A:C,3,0)</f>
        <v>Staffing</v>
      </c>
      <c r="F30" t="str">
        <f>VLOOKUP(Table_query3[[#This Row],[Metrics]],Metrics!A:C,2,0)</f>
        <v>%</v>
      </c>
      <c r="G30">
        <v>0</v>
      </c>
      <c r="H30" s="1"/>
    </row>
    <row r="31" spans="1:8" hidden="1" x14ac:dyDescent="0.25">
      <c r="A31" s="1" t="s">
        <v>1</v>
      </c>
      <c r="B31" s="4">
        <v>43466</v>
      </c>
      <c r="C31" s="1"/>
      <c r="D31" s="1" t="s">
        <v>72</v>
      </c>
      <c r="E31" t="str">
        <f>VLOOKUP(Table_query3[[#This Row],[Metrics]],Metrics!A:C,3,0)</f>
        <v>Compliance</v>
      </c>
      <c r="F31" t="str">
        <f>VLOOKUP(Table_query3[[#This Row],[Metrics]],Metrics!A:C,2,0)</f>
        <v>%</v>
      </c>
      <c r="G31">
        <v>97.4</v>
      </c>
      <c r="H31" s="1"/>
    </row>
    <row r="32" spans="1:8" hidden="1" x14ac:dyDescent="0.25">
      <c r="A32" s="1" t="s">
        <v>1</v>
      </c>
      <c r="B32" s="4">
        <v>43466</v>
      </c>
      <c r="C32" s="1"/>
      <c r="D32" s="1" t="s">
        <v>30</v>
      </c>
      <c r="E32" t="str">
        <f>VLOOKUP(Table_query3[[#This Row],[Metrics]],Metrics!A:C,3,0)</f>
        <v>Continous Improvements</v>
      </c>
      <c r="F32" t="str">
        <f>VLOOKUP(Table_query3[[#This Row],[Metrics]],Metrics!A:C,2,0)</f>
        <v>Count</v>
      </c>
      <c r="G32">
        <v>2</v>
      </c>
      <c r="H32" s="1"/>
    </row>
    <row r="33" spans="1:8" hidden="1" x14ac:dyDescent="0.25">
      <c r="A33" s="1" t="s">
        <v>1</v>
      </c>
      <c r="B33" s="4">
        <v>43466</v>
      </c>
      <c r="C33" s="1"/>
      <c r="D33" s="1" t="s">
        <v>21</v>
      </c>
      <c r="E33" t="str">
        <f>VLOOKUP(Table_query3[[#This Row],[Metrics]],Metrics!A:C,3,0)</f>
        <v>Continous Improvements</v>
      </c>
      <c r="F33" t="str">
        <f>VLOOKUP(Table_query3[[#This Row],[Metrics]],Metrics!A:C,2,0)</f>
        <v>Hours</v>
      </c>
      <c r="G33">
        <v>42</v>
      </c>
      <c r="H33" s="1"/>
    </row>
    <row r="34" spans="1:8" hidden="1" x14ac:dyDescent="0.25">
      <c r="A34" s="1" t="s">
        <v>1</v>
      </c>
      <c r="B34" s="4">
        <v>43466</v>
      </c>
      <c r="C34" s="1"/>
      <c r="D34" s="1" t="s">
        <v>16</v>
      </c>
      <c r="E34" t="str">
        <f>VLOOKUP(Table_query3[[#This Row],[Metrics]],Metrics!A:C,3,0)</f>
        <v>Continous Improvements</v>
      </c>
      <c r="F34" t="str">
        <f>VLOOKUP(Table_query3[[#This Row],[Metrics]],Metrics!A:C,2,0)</f>
        <v>Count</v>
      </c>
      <c r="G34">
        <v>1</v>
      </c>
      <c r="H34" s="1"/>
    </row>
    <row r="35" spans="1:8" hidden="1" x14ac:dyDescent="0.25">
      <c r="A35" s="1"/>
      <c r="B35" s="4"/>
      <c r="C35" s="1"/>
      <c r="D35" s="1"/>
      <c r="E35" t="e">
        <f>VLOOKUP(Table_query3[[#This Row],[Metrics]],Metrics!A:C,3,0)</f>
        <v>#N/A</v>
      </c>
      <c r="F35" t="e">
        <f>VLOOKUP(Table_query3[[#This Row],[Metrics]],Metrics!A:C,2,0)</f>
        <v>#N/A</v>
      </c>
      <c r="H35" s="1"/>
    </row>
    <row r="36" spans="1:8" hidden="1" x14ac:dyDescent="0.25">
      <c r="A36" s="1"/>
      <c r="B36" s="4"/>
      <c r="C36" s="1"/>
      <c r="D36" s="1"/>
      <c r="E36" t="e">
        <f>VLOOKUP(Table_query3[[#This Row],[Metrics]],Metrics!A:C,3,0)</f>
        <v>#N/A</v>
      </c>
      <c r="F36" t="e">
        <f>VLOOKUP(Table_query3[[#This Row],[Metrics]],Metrics!A:C,2,0)</f>
        <v>#N/A</v>
      </c>
      <c r="H36" s="1"/>
    </row>
    <row r="37" spans="1:8" hidden="1" x14ac:dyDescent="0.25">
      <c r="A37" s="1"/>
      <c r="B37" s="4"/>
      <c r="C37" s="1"/>
      <c r="D37" s="1"/>
      <c r="E37" t="e">
        <f>VLOOKUP(Table_query3[[#This Row],[Metrics]],Metrics!A:C,3,0)</f>
        <v>#N/A</v>
      </c>
      <c r="F37" t="e">
        <f>VLOOKUP(Table_query3[[#This Row],[Metrics]],Metrics!A:C,2,0)</f>
        <v>#N/A</v>
      </c>
      <c r="H37" s="1"/>
    </row>
    <row r="38" spans="1:8" hidden="1" x14ac:dyDescent="0.25">
      <c r="A38" s="1"/>
      <c r="B38" s="4"/>
      <c r="C38" s="1"/>
      <c r="D38" s="1"/>
      <c r="E38" t="e">
        <f>VLOOKUP(Table_query3[[#This Row],[Metrics]],Metrics!A:C,3,0)</f>
        <v>#N/A</v>
      </c>
      <c r="F38" t="e">
        <f>VLOOKUP(Table_query3[[#This Row],[Metrics]],Metrics!A:C,2,0)</f>
        <v>#N/A</v>
      </c>
      <c r="H38" s="1"/>
    </row>
    <row r="39" spans="1:8" hidden="1" x14ac:dyDescent="0.25">
      <c r="A39" s="1"/>
      <c r="B39" s="4"/>
      <c r="C39" s="1"/>
      <c r="D39" s="1"/>
      <c r="E39" t="e">
        <f>VLOOKUP(Table_query3[[#This Row],[Metrics]],Metrics!A:C,3,0)</f>
        <v>#N/A</v>
      </c>
      <c r="F39" t="e">
        <f>VLOOKUP(Table_query3[[#This Row],[Metrics]],Metrics!A:C,2,0)</f>
        <v>#N/A</v>
      </c>
      <c r="H39" s="1"/>
    </row>
    <row r="40" spans="1:8" hidden="1" x14ac:dyDescent="0.25">
      <c r="A40" s="1"/>
      <c r="B40" s="4"/>
      <c r="C40" s="1"/>
      <c r="D40" s="1"/>
      <c r="E40" t="e">
        <f>VLOOKUP(Table_query3[[#This Row],[Metrics]],Metrics!A:C,3,0)</f>
        <v>#N/A</v>
      </c>
      <c r="F40" t="e">
        <f>VLOOKUP(Table_query3[[#This Row],[Metrics]],Metrics!A:C,2,0)</f>
        <v>#N/A</v>
      </c>
      <c r="H40" s="1"/>
    </row>
    <row r="41" spans="1:8" hidden="1" x14ac:dyDescent="0.25">
      <c r="A41" s="1"/>
      <c r="B41" s="4"/>
      <c r="C41" s="1"/>
      <c r="D41" s="1"/>
      <c r="E41" t="e">
        <f>VLOOKUP(Table_query3[[#This Row],[Metrics]],Metrics!A:C,3,0)</f>
        <v>#N/A</v>
      </c>
      <c r="F41" t="e">
        <f>VLOOKUP(Table_query3[[#This Row],[Metrics]],Metrics!A:C,2,0)</f>
        <v>#N/A</v>
      </c>
      <c r="H41" s="1"/>
    </row>
    <row r="42" spans="1:8" hidden="1" x14ac:dyDescent="0.25">
      <c r="A42" s="1"/>
      <c r="B42" s="4"/>
      <c r="C42" s="1"/>
      <c r="D42" s="1"/>
      <c r="E42" t="e">
        <f>VLOOKUP(Table_query3[[#This Row],[Metrics]],Metrics!A:C,3,0)</f>
        <v>#N/A</v>
      </c>
      <c r="F42" t="e">
        <f>VLOOKUP(Table_query3[[#This Row],[Metrics]],Metrics!A:C,2,0)</f>
        <v>#N/A</v>
      </c>
      <c r="H42" s="1"/>
    </row>
    <row r="43" spans="1:8" hidden="1" x14ac:dyDescent="0.25">
      <c r="A43" s="1"/>
      <c r="B43" s="4"/>
      <c r="C43" s="1"/>
      <c r="D43" s="1"/>
      <c r="E43" t="e">
        <f>VLOOKUP(Table_query3[[#This Row],[Metrics]],Metrics!A:C,3,0)</f>
        <v>#N/A</v>
      </c>
      <c r="F43" t="e">
        <f>VLOOKUP(Table_query3[[#This Row],[Metrics]],Metrics!A:C,2,0)</f>
        <v>#N/A</v>
      </c>
      <c r="H43" s="1"/>
    </row>
    <row r="44" spans="1:8" hidden="1" x14ac:dyDescent="0.25">
      <c r="A44" s="1"/>
      <c r="B44" s="4"/>
      <c r="C44" s="1"/>
      <c r="D44" s="1"/>
      <c r="E44" t="e">
        <f>VLOOKUP(Table_query3[[#This Row],[Metrics]],Metrics!A:C,3,0)</f>
        <v>#N/A</v>
      </c>
      <c r="F44" t="e">
        <f>VLOOKUP(Table_query3[[#This Row],[Metrics]],Metrics!A:C,2,0)</f>
        <v>#N/A</v>
      </c>
      <c r="H44" s="1"/>
    </row>
    <row r="45" spans="1:8" hidden="1" x14ac:dyDescent="0.25">
      <c r="A45" s="1"/>
      <c r="B45" s="4"/>
      <c r="C45" s="1"/>
      <c r="D45" s="1"/>
      <c r="E45" t="e">
        <f>VLOOKUP(Table_query3[[#This Row],[Metrics]],Metrics!A:C,3,0)</f>
        <v>#N/A</v>
      </c>
      <c r="F45" t="e">
        <f>VLOOKUP(Table_query3[[#This Row],[Metrics]],Metrics!A:C,2,0)</f>
        <v>#N/A</v>
      </c>
      <c r="H45" s="1"/>
    </row>
    <row r="46" spans="1:8" hidden="1" x14ac:dyDescent="0.25">
      <c r="A46" s="1"/>
      <c r="B46" s="4"/>
      <c r="C46" s="1"/>
      <c r="D46" s="1"/>
      <c r="E46" t="e">
        <f>VLOOKUP(Table_query3[[#This Row],[Metrics]],Metrics!A:C,3,0)</f>
        <v>#N/A</v>
      </c>
      <c r="F46" t="e">
        <f>VLOOKUP(Table_query3[[#This Row],[Metrics]],Metrics!A:C,2,0)</f>
        <v>#N/A</v>
      </c>
      <c r="H46" s="1"/>
    </row>
    <row r="47" spans="1:8" hidden="1" x14ac:dyDescent="0.25">
      <c r="A47" s="1"/>
      <c r="B47" s="4"/>
      <c r="C47" s="1"/>
      <c r="D47" s="1"/>
      <c r="E47" t="e">
        <f>VLOOKUP(Table_query3[[#This Row],[Metrics]],Metrics!A:C,3,0)</f>
        <v>#N/A</v>
      </c>
      <c r="F47" t="e">
        <f>VLOOKUP(Table_query3[[#This Row],[Metrics]],Metrics!A:C,2,0)</f>
        <v>#N/A</v>
      </c>
      <c r="H47" s="1"/>
    </row>
    <row r="48" spans="1:8" hidden="1" x14ac:dyDescent="0.25">
      <c r="A48" s="1"/>
      <c r="B48" s="4"/>
      <c r="C48" s="1"/>
      <c r="D48" s="1"/>
      <c r="E48" t="e">
        <f>VLOOKUP(Table_query3[[#This Row],[Metrics]],Metrics!A:C,3,0)</f>
        <v>#N/A</v>
      </c>
      <c r="F48" t="e">
        <f>VLOOKUP(Table_query3[[#This Row],[Metrics]],Metrics!A:C,2,0)</f>
        <v>#N/A</v>
      </c>
      <c r="H48" s="1"/>
    </row>
    <row r="49" spans="1:8" hidden="1" x14ac:dyDescent="0.25">
      <c r="A49" s="1"/>
      <c r="B49" s="4"/>
      <c r="C49" s="1"/>
      <c r="D49" s="1"/>
      <c r="E49" t="e">
        <f>VLOOKUP(Table_query3[[#This Row],[Metrics]],Metrics!A:C,3,0)</f>
        <v>#N/A</v>
      </c>
      <c r="F49" t="e">
        <f>VLOOKUP(Table_query3[[#This Row],[Metrics]],Metrics!A:C,2,0)</f>
        <v>#N/A</v>
      </c>
      <c r="H49" s="1"/>
    </row>
    <row r="50" spans="1:8" hidden="1" x14ac:dyDescent="0.25">
      <c r="A50" s="1"/>
      <c r="B50" s="4"/>
      <c r="C50" s="1"/>
      <c r="D50" s="1"/>
      <c r="E50" t="e">
        <f>VLOOKUP(Table_query3[[#This Row],[Metrics]],Metrics!A:C,3,0)</f>
        <v>#N/A</v>
      </c>
      <c r="F50" t="e">
        <f>VLOOKUP(Table_query3[[#This Row],[Metrics]],Metrics!A:C,2,0)</f>
        <v>#N/A</v>
      </c>
      <c r="H50" s="1"/>
    </row>
    <row r="51" spans="1:8" hidden="1" x14ac:dyDescent="0.25">
      <c r="A51" s="1"/>
      <c r="B51" s="4"/>
      <c r="C51" s="1"/>
      <c r="D51" s="1"/>
      <c r="E51" t="e">
        <f>VLOOKUP(Table_query3[[#This Row],[Metrics]],Metrics!A:C,3,0)</f>
        <v>#N/A</v>
      </c>
      <c r="F51" t="e">
        <f>VLOOKUP(Table_query3[[#This Row],[Metrics]],Metrics!A:C,2,0)</f>
        <v>#N/A</v>
      </c>
      <c r="H51" s="1"/>
    </row>
    <row r="52" spans="1:8" hidden="1" x14ac:dyDescent="0.25">
      <c r="A52" s="1"/>
      <c r="B52" s="4"/>
      <c r="C52" s="1"/>
      <c r="D52" s="1"/>
      <c r="E52" t="e">
        <f>VLOOKUP(Table_query3[[#This Row],[Metrics]],Metrics!A:C,3,0)</f>
        <v>#N/A</v>
      </c>
      <c r="F52" t="e">
        <f>VLOOKUP(Table_query3[[#This Row],[Metrics]],Metrics!A:C,2,0)</f>
        <v>#N/A</v>
      </c>
      <c r="H52" s="1"/>
    </row>
    <row r="53" spans="1:8" hidden="1" x14ac:dyDescent="0.25">
      <c r="A53" s="1"/>
      <c r="B53" s="4"/>
      <c r="C53" s="1"/>
      <c r="D53" s="1"/>
      <c r="E53" t="e">
        <f>VLOOKUP(Table_query3[[#This Row],[Metrics]],Metrics!A:C,3,0)</f>
        <v>#N/A</v>
      </c>
      <c r="F53" t="e">
        <f>VLOOKUP(Table_query3[[#This Row],[Metrics]],Metrics!A:C,2,0)</f>
        <v>#N/A</v>
      </c>
      <c r="H53" s="1"/>
    </row>
    <row r="54" spans="1:8" hidden="1" x14ac:dyDescent="0.25">
      <c r="A54" s="1"/>
      <c r="B54" s="4"/>
      <c r="C54" s="1"/>
      <c r="D54" s="1"/>
      <c r="E54" t="e">
        <f>VLOOKUP(Table_query3[[#This Row],[Metrics]],Metrics!A:C,3,0)</f>
        <v>#N/A</v>
      </c>
      <c r="F54" t="e">
        <f>VLOOKUP(Table_query3[[#This Row],[Metrics]],Metrics!A:C,2,0)</f>
        <v>#N/A</v>
      </c>
      <c r="H54" s="1"/>
    </row>
    <row r="55" spans="1:8" hidden="1" x14ac:dyDescent="0.25">
      <c r="A55" s="1"/>
      <c r="B55" s="4"/>
      <c r="C55" s="1"/>
      <c r="D55" s="1"/>
      <c r="E55" t="e">
        <f>VLOOKUP(Table_query3[[#This Row],[Metrics]],Metrics!A:C,3,0)</f>
        <v>#N/A</v>
      </c>
      <c r="F55" t="e">
        <f>VLOOKUP(Table_query3[[#This Row],[Metrics]],Metrics!A:C,2,0)</f>
        <v>#N/A</v>
      </c>
      <c r="H55" s="1"/>
    </row>
    <row r="56" spans="1:8" hidden="1" x14ac:dyDescent="0.25">
      <c r="A56" s="1"/>
      <c r="B56" s="4"/>
      <c r="C56" s="1"/>
      <c r="D56" s="1"/>
      <c r="E56" t="e">
        <f>VLOOKUP(Table_query3[[#This Row],[Metrics]],Metrics!A:C,3,0)</f>
        <v>#N/A</v>
      </c>
      <c r="F56" t="e">
        <f>VLOOKUP(Table_query3[[#This Row],[Metrics]],Metrics!A:C,2,0)</f>
        <v>#N/A</v>
      </c>
      <c r="H56" s="1"/>
    </row>
    <row r="57" spans="1:8" hidden="1" x14ac:dyDescent="0.25">
      <c r="A57" s="1"/>
      <c r="B57" s="4"/>
      <c r="C57" s="1"/>
      <c r="D57" s="1"/>
      <c r="E57" t="e">
        <f>VLOOKUP(Table_query3[[#This Row],[Metrics]],Metrics!A:C,3,0)</f>
        <v>#N/A</v>
      </c>
      <c r="F57" t="e">
        <f>VLOOKUP(Table_query3[[#This Row],[Metrics]],Metrics!A:C,2,0)</f>
        <v>#N/A</v>
      </c>
      <c r="H57" s="1"/>
    </row>
    <row r="58" spans="1:8" hidden="1" x14ac:dyDescent="0.25">
      <c r="A58" s="1"/>
      <c r="B58" s="4"/>
      <c r="C58" s="1"/>
      <c r="D58" s="1"/>
      <c r="E58" t="e">
        <f>VLOOKUP(Table_query3[[#This Row],[Metrics]],Metrics!A:C,3,0)</f>
        <v>#N/A</v>
      </c>
      <c r="F58" t="e">
        <f>VLOOKUP(Table_query3[[#This Row],[Metrics]],Metrics!A:C,2,0)</f>
        <v>#N/A</v>
      </c>
      <c r="H58" s="1"/>
    </row>
    <row r="59" spans="1:8" hidden="1" x14ac:dyDescent="0.25">
      <c r="A59" s="1"/>
      <c r="B59" s="4"/>
      <c r="C59" s="1"/>
      <c r="D59" s="1"/>
      <c r="E59" t="e">
        <f>VLOOKUP(Table_query3[[#This Row],[Metrics]],Metrics!A:C,3,0)</f>
        <v>#N/A</v>
      </c>
      <c r="F59" t="e">
        <f>VLOOKUP(Table_query3[[#This Row],[Metrics]],Metrics!A:C,2,0)</f>
        <v>#N/A</v>
      </c>
      <c r="H59" s="1"/>
    </row>
    <row r="60" spans="1:8" hidden="1" x14ac:dyDescent="0.25">
      <c r="A60" s="1"/>
      <c r="B60" s="4"/>
      <c r="C60" s="1"/>
      <c r="D60" s="1"/>
      <c r="E60" t="e">
        <f>VLOOKUP(Table_query3[[#This Row],[Metrics]],Metrics!A:C,3,0)</f>
        <v>#N/A</v>
      </c>
      <c r="F60" t="e">
        <f>VLOOKUP(Table_query3[[#This Row],[Metrics]],Metrics!A:C,2,0)</f>
        <v>#N/A</v>
      </c>
      <c r="H60" s="1"/>
    </row>
    <row r="61" spans="1:8" hidden="1" x14ac:dyDescent="0.25">
      <c r="A61" s="1"/>
      <c r="B61" s="4"/>
      <c r="C61" s="1"/>
      <c r="D61" s="1"/>
      <c r="E61" t="e">
        <f>VLOOKUP(Table_query3[[#This Row],[Metrics]],Metrics!A:C,3,0)</f>
        <v>#N/A</v>
      </c>
      <c r="F61" t="e">
        <f>VLOOKUP(Table_query3[[#This Row],[Metrics]],Metrics!A:C,2,0)</f>
        <v>#N/A</v>
      </c>
      <c r="H61" s="1"/>
    </row>
    <row r="62" spans="1:8" hidden="1" x14ac:dyDescent="0.25">
      <c r="A62" s="1"/>
      <c r="B62" s="4"/>
      <c r="C62" s="1"/>
      <c r="D62" s="1"/>
      <c r="E62" t="e">
        <f>VLOOKUP(Table_query3[[#This Row],[Metrics]],Metrics!A:C,3,0)</f>
        <v>#N/A</v>
      </c>
      <c r="F62" t="e">
        <f>VLOOKUP(Table_query3[[#This Row],[Metrics]],Metrics!A:C,2,0)</f>
        <v>#N/A</v>
      </c>
      <c r="H62" s="1"/>
    </row>
    <row r="63" spans="1:8" hidden="1" x14ac:dyDescent="0.25">
      <c r="A63" s="1"/>
      <c r="B63" s="4"/>
      <c r="C63" s="1"/>
      <c r="D63" s="1"/>
      <c r="E63" t="e">
        <f>VLOOKUP(Table_query3[[#This Row],[Metrics]],Metrics!A:C,3,0)</f>
        <v>#N/A</v>
      </c>
      <c r="F63" t="e">
        <f>VLOOKUP(Table_query3[[#This Row],[Metrics]],Metrics!A:C,2,0)</f>
        <v>#N/A</v>
      </c>
      <c r="H63" s="1"/>
    </row>
    <row r="64" spans="1:8" hidden="1" x14ac:dyDescent="0.25">
      <c r="A64" s="1"/>
      <c r="B64" s="4"/>
      <c r="C64" s="1"/>
      <c r="D64" s="1"/>
      <c r="E64" t="e">
        <f>VLOOKUP(Table_query3[[#This Row],[Metrics]],Metrics!A:C,3,0)</f>
        <v>#N/A</v>
      </c>
      <c r="F64" t="e">
        <f>VLOOKUP(Table_query3[[#This Row],[Metrics]],Metrics!A:C,2,0)</f>
        <v>#N/A</v>
      </c>
      <c r="H64" s="1"/>
    </row>
    <row r="65" spans="1:8" hidden="1" x14ac:dyDescent="0.25">
      <c r="A65" s="1"/>
      <c r="B65" s="4"/>
      <c r="C65" s="1"/>
      <c r="D65" s="1"/>
      <c r="E65" t="e">
        <f>VLOOKUP(Table_query3[[#This Row],[Metrics]],Metrics!A:C,3,0)</f>
        <v>#N/A</v>
      </c>
      <c r="F65" t="e">
        <f>VLOOKUP(Table_query3[[#This Row],[Metrics]],Metrics!A:C,2,0)</f>
        <v>#N/A</v>
      </c>
      <c r="H65" s="1"/>
    </row>
    <row r="66" spans="1:8" hidden="1" x14ac:dyDescent="0.25">
      <c r="A66" s="1"/>
      <c r="B66" s="4"/>
      <c r="C66" s="1"/>
      <c r="D66" s="1"/>
      <c r="E66" t="e">
        <f>VLOOKUP(Table_query3[[#This Row],[Metrics]],Metrics!A:C,3,0)</f>
        <v>#N/A</v>
      </c>
      <c r="F66" t="e">
        <f>VLOOKUP(Table_query3[[#This Row],[Metrics]],Metrics!A:C,2,0)</f>
        <v>#N/A</v>
      </c>
      <c r="H66" s="1"/>
    </row>
    <row r="67" spans="1:8" hidden="1" x14ac:dyDescent="0.25">
      <c r="A67" s="1"/>
      <c r="B67" s="4"/>
      <c r="C67" s="1"/>
      <c r="D67" s="1"/>
      <c r="E67" t="e">
        <f>VLOOKUP(Table_query3[[#This Row],[Metrics]],Metrics!A:C,3,0)</f>
        <v>#N/A</v>
      </c>
      <c r="F67" t="e">
        <f>VLOOKUP(Table_query3[[#This Row],[Metrics]],Metrics!A:C,2,0)</f>
        <v>#N/A</v>
      </c>
      <c r="H67" s="1"/>
    </row>
    <row r="68" spans="1:8" hidden="1" x14ac:dyDescent="0.25">
      <c r="A68" s="1"/>
      <c r="B68" s="4"/>
      <c r="C68" s="1"/>
      <c r="D68" s="1"/>
      <c r="E68" t="e">
        <f>VLOOKUP(Table_query3[[#This Row],[Metrics]],Metrics!A:C,3,0)</f>
        <v>#N/A</v>
      </c>
      <c r="F68" t="e">
        <f>VLOOKUP(Table_query3[[#This Row],[Metrics]],Metrics!A:C,2,0)</f>
        <v>#N/A</v>
      </c>
      <c r="H68" s="1"/>
    </row>
    <row r="69" spans="1:8" hidden="1" x14ac:dyDescent="0.25">
      <c r="A69" s="1"/>
      <c r="B69" s="4"/>
      <c r="C69" s="1"/>
      <c r="D69" s="1"/>
      <c r="E69" t="e">
        <f>VLOOKUP(Table_query3[[#This Row],[Metrics]],Metrics!A:C,3,0)</f>
        <v>#N/A</v>
      </c>
      <c r="F69" t="e">
        <f>VLOOKUP(Table_query3[[#This Row],[Metrics]],Metrics!A:C,2,0)</f>
        <v>#N/A</v>
      </c>
      <c r="H69" s="1"/>
    </row>
    <row r="70" spans="1:8" hidden="1" x14ac:dyDescent="0.25">
      <c r="A70" s="1"/>
      <c r="B70" s="4"/>
      <c r="C70" s="1"/>
      <c r="D70" s="1"/>
      <c r="E70" t="e">
        <f>VLOOKUP(Table_query3[[#This Row],[Metrics]],Metrics!A:C,3,0)</f>
        <v>#N/A</v>
      </c>
      <c r="F70" t="e">
        <f>VLOOKUP(Table_query3[[#This Row],[Metrics]],Metrics!A:C,2,0)</f>
        <v>#N/A</v>
      </c>
      <c r="H70" s="1"/>
    </row>
    <row r="71" spans="1:8" hidden="1" x14ac:dyDescent="0.25">
      <c r="A71" s="1"/>
      <c r="B71" s="4"/>
      <c r="C71" s="1"/>
      <c r="D71" s="1"/>
      <c r="E71" t="e">
        <f>VLOOKUP(Table_query3[[#This Row],[Metrics]],Metrics!A:C,3,0)</f>
        <v>#N/A</v>
      </c>
      <c r="F71" t="e">
        <f>VLOOKUP(Table_query3[[#This Row],[Metrics]],Metrics!A:C,2,0)</f>
        <v>#N/A</v>
      </c>
      <c r="H71" s="1"/>
    </row>
    <row r="72" spans="1:8" hidden="1" x14ac:dyDescent="0.25">
      <c r="A72" s="1"/>
      <c r="B72" s="4"/>
      <c r="C72" s="1"/>
      <c r="D72" s="1"/>
      <c r="E72" t="e">
        <f>VLOOKUP(Table_query3[[#This Row],[Metrics]],Metrics!A:C,3,0)</f>
        <v>#N/A</v>
      </c>
      <c r="F72" t="e">
        <f>VLOOKUP(Table_query3[[#This Row],[Metrics]],Metrics!A:C,2,0)</f>
        <v>#N/A</v>
      </c>
      <c r="H72" s="1"/>
    </row>
    <row r="73" spans="1:8" hidden="1" x14ac:dyDescent="0.25">
      <c r="A73" s="1"/>
      <c r="B73" s="4"/>
      <c r="C73" s="1"/>
      <c r="D73" s="1"/>
      <c r="E73" t="e">
        <f>VLOOKUP(Table_query3[[#This Row],[Metrics]],Metrics!A:C,3,0)</f>
        <v>#N/A</v>
      </c>
      <c r="F73" t="e">
        <f>VLOOKUP(Table_query3[[#This Row],[Metrics]],Metrics!A:C,2,0)</f>
        <v>#N/A</v>
      </c>
      <c r="H73" s="1"/>
    </row>
    <row r="74" spans="1:8" hidden="1" x14ac:dyDescent="0.25">
      <c r="A74" s="1"/>
      <c r="B74" s="4"/>
      <c r="C74" s="1"/>
      <c r="D74" s="1"/>
      <c r="E74" t="e">
        <f>VLOOKUP(Table_query3[[#This Row],[Metrics]],Metrics!A:C,3,0)</f>
        <v>#N/A</v>
      </c>
      <c r="F74" t="e">
        <f>VLOOKUP(Table_query3[[#This Row],[Metrics]],Metrics!A:C,2,0)</f>
        <v>#N/A</v>
      </c>
      <c r="H74" s="1"/>
    </row>
    <row r="75" spans="1:8" hidden="1" x14ac:dyDescent="0.25">
      <c r="A75" s="1"/>
      <c r="B75" s="4"/>
      <c r="C75" s="1"/>
      <c r="D75" s="1"/>
      <c r="E75" t="e">
        <f>VLOOKUP(Table_query3[[#This Row],[Metrics]],Metrics!A:C,3,0)</f>
        <v>#N/A</v>
      </c>
      <c r="F75" t="e">
        <f>VLOOKUP(Table_query3[[#This Row],[Metrics]],Metrics!A:C,2,0)</f>
        <v>#N/A</v>
      </c>
      <c r="H75" s="1"/>
    </row>
    <row r="76" spans="1:8" hidden="1" x14ac:dyDescent="0.25">
      <c r="A76" s="1"/>
      <c r="B76" s="4"/>
      <c r="C76" s="1"/>
      <c r="D76" s="1"/>
      <c r="E76" t="e">
        <f>VLOOKUP(Table_query3[[#This Row],[Metrics]],Metrics!A:C,3,0)</f>
        <v>#N/A</v>
      </c>
      <c r="F76" t="e">
        <f>VLOOKUP(Table_query3[[#This Row],[Metrics]],Metrics!A:C,2,0)</f>
        <v>#N/A</v>
      </c>
      <c r="H76" s="1"/>
    </row>
    <row r="77" spans="1:8" hidden="1" x14ac:dyDescent="0.25">
      <c r="A77" s="1"/>
      <c r="B77" s="4"/>
      <c r="C77" s="1"/>
      <c r="D77" s="1"/>
      <c r="E77" t="e">
        <f>VLOOKUP(Table_query3[[#This Row],[Metrics]],Metrics!A:C,3,0)</f>
        <v>#N/A</v>
      </c>
      <c r="F77" t="e">
        <f>VLOOKUP(Table_query3[[#This Row],[Metrics]],Metrics!A:C,2,0)</f>
        <v>#N/A</v>
      </c>
      <c r="H77" s="1"/>
    </row>
    <row r="78" spans="1:8" hidden="1" x14ac:dyDescent="0.25">
      <c r="A78" s="1"/>
      <c r="B78" s="4"/>
      <c r="C78" s="1"/>
      <c r="D78" s="1"/>
      <c r="E78" t="e">
        <f>VLOOKUP(Table_query3[[#This Row],[Metrics]],Metrics!A:C,3,0)</f>
        <v>#N/A</v>
      </c>
      <c r="F78" t="e">
        <f>VLOOKUP(Table_query3[[#This Row],[Metrics]],Metrics!A:C,2,0)</f>
        <v>#N/A</v>
      </c>
      <c r="H78" s="1"/>
    </row>
    <row r="79" spans="1:8" hidden="1" x14ac:dyDescent="0.25">
      <c r="A79" s="1"/>
      <c r="B79" s="4"/>
      <c r="C79" s="1"/>
      <c r="D79" s="1"/>
      <c r="E79" t="e">
        <f>VLOOKUP(Table_query3[[#This Row],[Metrics]],Metrics!A:C,3,0)</f>
        <v>#N/A</v>
      </c>
      <c r="F79" t="e">
        <f>VLOOKUP(Table_query3[[#This Row],[Metrics]],Metrics!A:C,2,0)</f>
        <v>#N/A</v>
      </c>
      <c r="H79" s="1"/>
    </row>
    <row r="80" spans="1:8" hidden="1" x14ac:dyDescent="0.25">
      <c r="A80" s="1"/>
      <c r="B80" s="4"/>
      <c r="C80" s="1"/>
      <c r="D80" s="1"/>
      <c r="E80" t="e">
        <f>VLOOKUP(Table_query3[[#This Row],[Metrics]],Metrics!A:C,3,0)</f>
        <v>#N/A</v>
      </c>
      <c r="F80" t="e">
        <f>VLOOKUP(Table_query3[[#This Row],[Metrics]],Metrics!A:C,2,0)</f>
        <v>#N/A</v>
      </c>
      <c r="H80" s="1"/>
    </row>
    <row r="81" spans="1:8" hidden="1" x14ac:dyDescent="0.25">
      <c r="A81" s="1"/>
      <c r="B81" s="4"/>
      <c r="C81" s="1"/>
      <c r="D81" s="1"/>
      <c r="E81" t="e">
        <f>VLOOKUP(Table_query3[[#This Row],[Metrics]],Metrics!A:C,3,0)</f>
        <v>#N/A</v>
      </c>
      <c r="F81" t="e">
        <f>VLOOKUP(Table_query3[[#This Row],[Metrics]],Metrics!A:C,2,0)</f>
        <v>#N/A</v>
      </c>
      <c r="H81" s="1"/>
    </row>
    <row r="82" spans="1:8" hidden="1" x14ac:dyDescent="0.25">
      <c r="A82" s="1"/>
      <c r="B82" s="4"/>
      <c r="C82" s="1"/>
      <c r="D82" s="1"/>
      <c r="E82" t="e">
        <f>VLOOKUP(Table_query3[[#This Row],[Metrics]],Metrics!A:C,3,0)</f>
        <v>#N/A</v>
      </c>
      <c r="F82" t="e">
        <f>VLOOKUP(Table_query3[[#This Row],[Metrics]],Metrics!A:C,2,0)</f>
        <v>#N/A</v>
      </c>
      <c r="H82" s="1"/>
    </row>
    <row r="83" spans="1:8" hidden="1" x14ac:dyDescent="0.25">
      <c r="A83" s="1"/>
      <c r="B83" s="4"/>
      <c r="C83" s="1"/>
      <c r="D83" s="1"/>
      <c r="E83" t="e">
        <f>VLOOKUP(Table_query3[[#This Row],[Metrics]],Metrics!A:C,3,0)</f>
        <v>#N/A</v>
      </c>
      <c r="F83" t="e">
        <f>VLOOKUP(Table_query3[[#This Row],[Metrics]],Metrics!A:C,2,0)</f>
        <v>#N/A</v>
      </c>
      <c r="H83" s="1"/>
    </row>
    <row r="84" spans="1:8" hidden="1" x14ac:dyDescent="0.25">
      <c r="A84" s="1"/>
      <c r="B84" s="4"/>
      <c r="C84" s="1"/>
      <c r="D84" s="1"/>
      <c r="E84" t="e">
        <f>VLOOKUP(Table_query3[[#This Row],[Metrics]],Metrics!A:C,3,0)</f>
        <v>#N/A</v>
      </c>
      <c r="F84" t="e">
        <f>VLOOKUP(Table_query3[[#This Row],[Metrics]],Metrics!A:C,2,0)</f>
        <v>#N/A</v>
      </c>
      <c r="H84" s="1"/>
    </row>
    <row r="85" spans="1:8" hidden="1" x14ac:dyDescent="0.25">
      <c r="A85" s="1"/>
      <c r="B85" s="4"/>
      <c r="C85" s="1"/>
      <c r="D85" s="1"/>
      <c r="E85" t="e">
        <f>VLOOKUP(Table_query3[[#This Row],[Metrics]],Metrics!A:C,3,0)</f>
        <v>#N/A</v>
      </c>
      <c r="F85" t="e">
        <f>VLOOKUP(Table_query3[[#This Row],[Metrics]],Metrics!A:C,2,0)</f>
        <v>#N/A</v>
      </c>
      <c r="H85" s="1"/>
    </row>
    <row r="86" spans="1:8" hidden="1" x14ac:dyDescent="0.25">
      <c r="A86" s="1"/>
      <c r="B86" s="4"/>
      <c r="C86" s="1"/>
      <c r="D86" s="1"/>
      <c r="E86" t="e">
        <f>VLOOKUP(Table_query3[[#This Row],[Metrics]],Metrics!A:C,3,0)</f>
        <v>#N/A</v>
      </c>
      <c r="F86" t="e">
        <f>VLOOKUP(Table_query3[[#This Row],[Metrics]],Metrics!A:C,2,0)</f>
        <v>#N/A</v>
      </c>
      <c r="H86" s="1"/>
    </row>
    <row r="87" spans="1:8" hidden="1" x14ac:dyDescent="0.25">
      <c r="A87" s="1"/>
      <c r="B87" s="4"/>
      <c r="C87" s="1"/>
      <c r="D87" s="1"/>
      <c r="E87" t="e">
        <f>VLOOKUP(Table_query3[[#This Row],[Metrics]],Metrics!A:C,3,0)</f>
        <v>#N/A</v>
      </c>
      <c r="F87" t="e">
        <f>VLOOKUP(Table_query3[[#This Row],[Metrics]],Metrics!A:C,2,0)</f>
        <v>#N/A</v>
      </c>
      <c r="H87" s="1"/>
    </row>
    <row r="88" spans="1:8" hidden="1" x14ac:dyDescent="0.25">
      <c r="A88" s="1"/>
      <c r="B88" s="4"/>
      <c r="C88" s="1"/>
      <c r="D88" s="1"/>
      <c r="E88" t="e">
        <f>VLOOKUP(Table_query3[[#This Row],[Metrics]],Metrics!A:C,3,0)</f>
        <v>#N/A</v>
      </c>
      <c r="F88" t="e">
        <f>VLOOKUP(Table_query3[[#This Row],[Metrics]],Metrics!A:C,2,0)</f>
        <v>#N/A</v>
      </c>
      <c r="H88" s="1"/>
    </row>
    <row r="89" spans="1:8" hidden="1" x14ac:dyDescent="0.25">
      <c r="A89" s="1"/>
      <c r="B89" s="4"/>
      <c r="C89" s="1"/>
      <c r="D89" s="1"/>
      <c r="E89" t="e">
        <f>VLOOKUP(Table_query3[[#This Row],[Metrics]],Metrics!A:C,3,0)</f>
        <v>#N/A</v>
      </c>
      <c r="F89" t="e">
        <f>VLOOKUP(Table_query3[[#This Row],[Metrics]],Metrics!A:C,2,0)</f>
        <v>#N/A</v>
      </c>
      <c r="H89" s="1"/>
    </row>
    <row r="90" spans="1:8" hidden="1" x14ac:dyDescent="0.25">
      <c r="A90" s="1"/>
      <c r="B90" s="4"/>
      <c r="C90" s="1"/>
      <c r="D90" s="1"/>
      <c r="E90" t="e">
        <f>VLOOKUP(Table_query3[[#This Row],[Metrics]],Metrics!A:C,3,0)</f>
        <v>#N/A</v>
      </c>
      <c r="F90" t="e">
        <f>VLOOKUP(Table_query3[[#This Row],[Metrics]],Metrics!A:C,2,0)</f>
        <v>#N/A</v>
      </c>
      <c r="H90" s="1"/>
    </row>
    <row r="91" spans="1:8" hidden="1" x14ac:dyDescent="0.25">
      <c r="A91" s="1"/>
      <c r="B91" s="4"/>
      <c r="C91" s="1"/>
      <c r="D91" s="1"/>
      <c r="E91" t="e">
        <f>VLOOKUP(Table_query3[[#This Row],[Metrics]],Metrics!A:C,3,0)</f>
        <v>#N/A</v>
      </c>
      <c r="F91" t="e">
        <f>VLOOKUP(Table_query3[[#This Row],[Metrics]],Metrics!A:C,2,0)</f>
        <v>#N/A</v>
      </c>
      <c r="H91" s="1"/>
    </row>
    <row r="92" spans="1:8" hidden="1" x14ac:dyDescent="0.25">
      <c r="A92" s="1"/>
      <c r="B92" s="4"/>
      <c r="C92" s="1"/>
      <c r="D92" s="1"/>
      <c r="E92" t="e">
        <f>VLOOKUP(Table_query3[[#This Row],[Metrics]],Metrics!A:C,3,0)</f>
        <v>#N/A</v>
      </c>
      <c r="F92" t="e">
        <f>VLOOKUP(Table_query3[[#This Row],[Metrics]],Metrics!A:C,2,0)</f>
        <v>#N/A</v>
      </c>
      <c r="H92" s="1"/>
    </row>
    <row r="93" spans="1:8" hidden="1" x14ac:dyDescent="0.25">
      <c r="A93" s="1"/>
      <c r="B93" s="4"/>
      <c r="C93" s="1"/>
      <c r="D93" s="1"/>
      <c r="E93" t="e">
        <f>VLOOKUP(Table_query3[[#This Row],[Metrics]],Metrics!A:C,3,0)</f>
        <v>#N/A</v>
      </c>
      <c r="F93" t="e">
        <f>VLOOKUP(Table_query3[[#This Row],[Metrics]],Metrics!A:C,2,0)</f>
        <v>#N/A</v>
      </c>
      <c r="H93" s="1"/>
    </row>
    <row r="94" spans="1:8" hidden="1" x14ac:dyDescent="0.25">
      <c r="A94" s="1"/>
      <c r="B94" s="4"/>
      <c r="C94" s="1"/>
      <c r="D94" s="1"/>
      <c r="E94" t="e">
        <f>VLOOKUP(Table_query3[[#This Row],[Metrics]],Metrics!A:C,3,0)</f>
        <v>#N/A</v>
      </c>
      <c r="F94" t="e">
        <f>VLOOKUP(Table_query3[[#This Row],[Metrics]],Metrics!A:C,2,0)</f>
        <v>#N/A</v>
      </c>
      <c r="H94" s="1"/>
    </row>
    <row r="95" spans="1:8" hidden="1" x14ac:dyDescent="0.25">
      <c r="A95" s="1"/>
      <c r="B95" s="4"/>
      <c r="C95" s="1"/>
      <c r="D95" s="1"/>
      <c r="E95" t="e">
        <f>VLOOKUP(Table_query3[[#This Row],[Metrics]],Metrics!A:C,3,0)</f>
        <v>#N/A</v>
      </c>
      <c r="F95" t="e">
        <f>VLOOKUP(Table_query3[[#This Row],[Metrics]],Metrics!A:C,2,0)</f>
        <v>#N/A</v>
      </c>
      <c r="H95" s="1"/>
    </row>
    <row r="96" spans="1:8" hidden="1" x14ac:dyDescent="0.25">
      <c r="A96" s="1"/>
      <c r="B96" s="4"/>
      <c r="C96" s="1"/>
      <c r="D96" s="1"/>
      <c r="E96" t="e">
        <f>VLOOKUP(Table_query3[[#This Row],[Metrics]],Metrics!A:C,3,0)</f>
        <v>#N/A</v>
      </c>
      <c r="F96" t="e">
        <f>VLOOKUP(Table_query3[[#This Row],[Metrics]],Metrics!A:C,2,0)</f>
        <v>#N/A</v>
      </c>
      <c r="H96" s="1"/>
    </row>
    <row r="97" spans="1:8" hidden="1" x14ac:dyDescent="0.25">
      <c r="A97" s="1"/>
      <c r="B97" s="4"/>
      <c r="C97" s="1"/>
      <c r="D97" s="1"/>
      <c r="E97" t="e">
        <f>VLOOKUP(Table_query3[[#This Row],[Metrics]],Metrics!A:C,3,0)</f>
        <v>#N/A</v>
      </c>
      <c r="F97" t="e">
        <f>VLOOKUP(Table_query3[[#This Row],[Metrics]],Metrics!A:C,2,0)</f>
        <v>#N/A</v>
      </c>
      <c r="H97" s="1"/>
    </row>
    <row r="98" spans="1:8" hidden="1" x14ac:dyDescent="0.25">
      <c r="A98" s="1"/>
      <c r="B98" s="4"/>
      <c r="C98" s="1"/>
      <c r="D98" s="1"/>
      <c r="E98" t="e">
        <f>VLOOKUP(Table_query3[[#This Row],[Metrics]],Metrics!A:C,3,0)</f>
        <v>#N/A</v>
      </c>
      <c r="F98" t="e">
        <f>VLOOKUP(Table_query3[[#This Row],[Metrics]],Metrics!A:C,2,0)</f>
        <v>#N/A</v>
      </c>
      <c r="H98" s="1"/>
    </row>
    <row r="99" spans="1:8" hidden="1" x14ac:dyDescent="0.25">
      <c r="A99" s="1"/>
      <c r="B99" s="4"/>
      <c r="C99" s="1"/>
      <c r="D99" s="1"/>
      <c r="E99" t="e">
        <f>VLOOKUP(Table_query3[[#This Row],[Metrics]],Metrics!A:C,3,0)</f>
        <v>#N/A</v>
      </c>
      <c r="F99" t="e">
        <f>VLOOKUP(Table_query3[[#This Row],[Metrics]],Metrics!A:C,2,0)</f>
        <v>#N/A</v>
      </c>
      <c r="H99" s="1"/>
    </row>
    <row r="100" spans="1:8" hidden="1" x14ac:dyDescent="0.25">
      <c r="A100" s="1"/>
      <c r="B100" s="4"/>
      <c r="C100" s="1"/>
      <c r="D100" s="1"/>
      <c r="E100" t="e">
        <f>VLOOKUP(Table_query3[[#This Row],[Metrics]],Metrics!A:C,3,0)</f>
        <v>#N/A</v>
      </c>
      <c r="F100" t="e">
        <f>VLOOKUP(Table_query3[[#This Row],[Metrics]],Metrics!A:C,2,0)</f>
        <v>#N/A</v>
      </c>
      <c r="H100" s="1"/>
    </row>
    <row r="101" spans="1:8" hidden="1" x14ac:dyDescent="0.25">
      <c r="A101" s="1"/>
      <c r="B101" s="4"/>
      <c r="C101" s="1"/>
      <c r="D101" s="1"/>
      <c r="E101" t="e">
        <f>VLOOKUP(Table_query3[[#This Row],[Metrics]],Metrics!A:C,3,0)</f>
        <v>#N/A</v>
      </c>
      <c r="F101" t="e">
        <f>VLOOKUP(Table_query3[[#This Row],[Metrics]],Metrics!A:C,2,0)</f>
        <v>#N/A</v>
      </c>
      <c r="H101" s="1"/>
    </row>
    <row r="102" spans="1:8" hidden="1" x14ac:dyDescent="0.25">
      <c r="A102" s="1"/>
      <c r="B102" s="4"/>
      <c r="C102" s="1"/>
      <c r="D102" s="1"/>
      <c r="E102" t="e">
        <f>VLOOKUP(Table_query3[[#This Row],[Metrics]],Metrics!A:C,3,0)</f>
        <v>#N/A</v>
      </c>
      <c r="F102" t="e">
        <f>VLOOKUP(Table_query3[[#This Row],[Metrics]],Metrics!A:C,2,0)</f>
        <v>#N/A</v>
      </c>
      <c r="H102" s="1"/>
    </row>
    <row r="103" spans="1:8" hidden="1" x14ac:dyDescent="0.25">
      <c r="A103" s="1"/>
      <c r="B103" s="4"/>
      <c r="C103" s="1"/>
      <c r="D103" s="1"/>
      <c r="E103" t="e">
        <f>VLOOKUP(Table_query3[[#This Row],[Metrics]],Metrics!A:C,3,0)</f>
        <v>#N/A</v>
      </c>
      <c r="F103" t="e">
        <f>VLOOKUP(Table_query3[[#This Row],[Metrics]],Metrics!A:C,2,0)</f>
        <v>#N/A</v>
      </c>
      <c r="H103" s="1"/>
    </row>
    <row r="104" spans="1:8" hidden="1" x14ac:dyDescent="0.25">
      <c r="A104" s="1"/>
      <c r="B104" s="4"/>
      <c r="C104" s="1"/>
      <c r="D104" s="1"/>
      <c r="E104" t="e">
        <f>VLOOKUP(Table_query3[[#This Row],[Metrics]],Metrics!A:C,3,0)</f>
        <v>#N/A</v>
      </c>
      <c r="F104" t="e">
        <f>VLOOKUP(Table_query3[[#This Row],[Metrics]],Metrics!A:C,2,0)</f>
        <v>#N/A</v>
      </c>
      <c r="H104" s="1"/>
    </row>
    <row r="105" spans="1:8" hidden="1" x14ac:dyDescent="0.25">
      <c r="A105" s="1"/>
      <c r="B105" s="4"/>
      <c r="C105" s="1"/>
      <c r="D105" s="1"/>
      <c r="E105" t="e">
        <f>VLOOKUP(Table_query3[[#This Row],[Metrics]],Metrics!A:C,3,0)</f>
        <v>#N/A</v>
      </c>
      <c r="F105" t="e">
        <f>VLOOKUP(Table_query3[[#This Row],[Metrics]],Metrics!A:C,2,0)</f>
        <v>#N/A</v>
      </c>
      <c r="H105" s="1"/>
    </row>
    <row r="106" spans="1:8" hidden="1" x14ac:dyDescent="0.25">
      <c r="A106" s="1"/>
      <c r="B106" s="4"/>
      <c r="C106" s="1"/>
      <c r="D106" s="1"/>
      <c r="E106" t="e">
        <f>VLOOKUP(Table_query3[[#This Row],[Metrics]],Metrics!A:C,3,0)</f>
        <v>#N/A</v>
      </c>
      <c r="F106" t="e">
        <f>VLOOKUP(Table_query3[[#This Row],[Metrics]],Metrics!A:C,2,0)</f>
        <v>#N/A</v>
      </c>
      <c r="H106" s="1"/>
    </row>
    <row r="107" spans="1:8" hidden="1" x14ac:dyDescent="0.25">
      <c r="A107" s="1"/>
      <c r="B107" s="4"/>
      <c r="C107" s="1"/>
      <c r="D107" s="1"/>
      <c r="E107" t="e">
        <f>VLOOKUP(Table_query3[[#This Row],[Metrics]],Metrics!A:C,3,0)</f>
        <v>#N/A</v>
      </c>
      <c r="F107" t="e">
        <f>VLOOKUP(Table_query3[[#This Row],[Metrics]],Metrics!A:C,2,0)</f>
        <v>#N/A</v>
      </c>
      <c r="H107" s="1"/>
    </row>
    <row r="108" spans="1:8" hidden="1" x14ac:dyDescent="0.25">
      <c r="A108" s="1"/>
      <c r="B108" s="4"/>
      <c r="C108" s="1"/>
      <c r="D108" s="1"/>
      <c r="E108" t="e">
        <f>VLOOKUP(Table_query3[[#This Row],[Metrics]],Metrics!A:C,3,0)</f>
        <v>#N/A</v>
      </c>
      <c r="F108" t="e">
        <f>VLOOKUP(Table_query3[[#This Row],[Metrics]],Metrics!A:C,2,0)</f>
        <v>#N/A</v>
      </c>
      <c r="H108" s="1"/>
    </row>
    <row r="109" spans="1:8" hidden="1" x14ac:dyDescent="0.25">
      <c r="A109" s="1"/>
      <c r="B109" s="4"/>
      <c r="C109" s="1"/>
      <c r="D109" s="1"/>
      <c r="E109" t="e">
        <f>VLOOKUP(Table_query3[[#This Row],[Metrics]],Metrics!A:C,3,0)</f>
        <v>#N/A</v>
      </c>
      <c r="F109" t="e">
        <f>VLOOKUP(Table_query3[[#This Row],[Metrics]],Metrics!A:C,2,0)</f>
        <v>#N/A</v>
      </c>
      <c r="H109" s="1"/>
    </row>
    <row r="110" spans="1:8" hidden="1" x14ac:dyDescent="0.25">
      <c r="A110" s="1"/>
      <c r="B110" s="4"/>
      <c r="C110" s="1"/>
      <c r="D110" s="1"/>
      <c r="E110" t="e">
        <f>VLOOKUP(Table_query3[[#This Row],[Metrics]],Metrics!A:C,3,0)</f>
        <v>#N/A</v>
      </c>
      <c r="F110" t="e">
        <f>VLOOKUP(Table_query3[[#This Row],[Metrics]],Metrics!A:C,2,0)</f>
        <v>#N/A</v>
      </c>
      <c r="H110" s="1"/>
    </row>
    <row r="111" spans="1:8" hidden="1" x14ac:dyDescent="0.25">
      <c r="A111" s="1"/>
      <c r="B111" s="4"/>
      <c r="C111" s="1"/>
      <c r="D111" s="1"/>
      <c r="E111" t="e">
        <f>VLOOKUP(Table_query3[[#This Row],[Metrics]],Metrics!A:C,3,0)</f>
        <v>#N/A</v>
      </c>
      <c r="F111" t="e">
        <f>VLOOKUP(Table_query3[[#This Row],[Metrics]],Metrics!A:C,2,0)</f>
        <v>#N/A</v>
      </c>
      <c r="H111" s="1"/>
    </row>
    <row r="112" spans="1:8" hidden="1" x14ac:dyDescent="0.25">
      <c r="A112" s="1"/>
      <c r="B112" s="4"/>
      <c r="C112" s="1"/>
      <c r="D112" s="1"/>
      <c r="E112" t="e">
        <f>VLOOKUP(Table_query3[[#This Row],[Metrics]],Metrics!A:C,3,0)</f>
        <v>#N/A</v>
      </c>
      <c r="F112" t="e">
        <f>VLOOKUP(Table_query3[[#This Row],[Metrics]],Metrics!A:C,2,0)</f>
        <v>#N/A</v>
      </c>
      <c r="H112" s="1"/>
    </row>
    <row r="113" spans="1:8" hidden="1" x14ac:dyDescent="0.25">
      <c r="A113" s="1"/>
      <c r="B113" s="4"/>
      <c r="C113" s="1"/>
      <c r="D113" s="1"/>
      <c r="E113" t="e">
        <f>VLOOKUP(Table_query3[[#This Row],[Metrics]],Metrics!A:C,3,0)</f>
        <v>#N/A</v>
      </c>
      <c r="F113" t="e">
        <f>VLOOKUP(Table_query3[[#This Row],[Metrics]],Metrics!A:C,2,0)</f>
        <v>#N/A</v>
      </c>
      <c r="H113" s="1"/>
    </row>
    <row r="114" spans="1:8" hidden="1" x14ac:dyDescent="0.25">
      <c r="A114" s="1"/>
      <c r="B114" s="4"/>
      <c r="C114" s="1"/>
      <c r="D114" s="1"/>
      <c r="E114" t="e">
        <f>VLOOKUP(Table_query3[[#This Row],[Metrics]],Metrics!A:C,3,0)</f>
        <v>#N/A</v>
      </c>
      <c r="F114" t="e">
        <f>VLOOKUP(Table_query3[[#This Row],[Metrics]],Metrics!A:C,2,0)</f>
        <v>#N/A</v>
      </c>
      <c r="H114" s="1"/>
    </row>
    <row r="115" spans="1:8" hidden="1" x14ac:dyDescent="0.25">
      <c r="A115" s="1"/>
      <c r="B115" s="4"/>
      <c r="C115" s="1"/>
      <c r="D115" s="1"/>
      <c r="E115" t="e">
        <f>VLOOKUP(Table_query3[[#This Row],[Metrics]],Metrics!A:C,3,0)</f>
        <v>#N/A</v>
      </c>
      <c r="F115" t="e">
        <f>VLOOKUP(Table_query3[[#This Row],[Metrics]],Metrics!A:C,2,0)</f>
        <v>#N/A</v>
      </c>
      <c r="H115" s="1"/>
    </row>
    <row r="116" spans="1:8" hidden="1" x14ac:dyDescent="0.25">
      <c r="A116" s="1"/>
      <c r="B116" s="4"/>
      <c r="C116" s="1"/>
      <c r="D116" s="1"/>
      <c r="E116" t="e">
        <f>VLOOKUP(Table_query3[[#This Row],[Metrics]],Metrics!A:C,3,0)</f>
        <v>#N/A</v>
      </c>
      <c r="F116" t="e">
        <f>VLOOKUP(Table_query3[[#This Row],[Metrics]],Metrics!A:C,2,0)</f>
        <v>#N/A</v>
      </c>
      <c r="H116" s="1"/>
    </row>
    <row r="117" spans="1:8" hidden="1" x14ac:dyDescent="0.25">
      <c r="A117" s="1"/>
      <c r="B117" s="4"/>
      <c r="C117" s="1"/>
      <c r="D117" s="1"/>
      <c r="E117" t="e">
        <f>VLOOKUP(Table_query3[[#This Row],[Metrics]],Metrics!A:C,3,0)</f>
        <v>#N/A</v>
      </c>
      <c r="F117" t="e">
        <f>VLOOKUP(Table_query3[[#This Row],[Metrics]],Metrics!A:C,2,0)</f>
        <v>#N/A</v>
      </c>
      <c r="H117" s="1"/>
    </row>
    <row r="118" spans="1:8" hidden="1" x14ac:dyDescent="0.25">
      <c r="A118" s="1"/>
      <c r="B118" s="4"/>
      <c r="C118" s="1"/>
      <c r="D118" s="1"/>
      <c r="E118" t="e">
        <f>VLOOKUP(Table_query3[[#This Row],[Metrics]],Metrics!A:C,3,0)</f>
        <v>#N/A</v>
      </c>
      <c r="F118" t="e">
        <f>VLOOKUP(Table_query3[[#This Row],[Metrics]],Metrics!A:C,2,0)</f>
        <v>#N/A</v>
      </c>
      <c r="H118" s="1"/>
    </row>
    <row r="119" spans="1:8" hidden="1" x14ac:dyDescent="0.25">
      <c r="A119" s="1"/>
      <c r="B119" s="4"/>
      <c r="C119" s="1"/>
      <c r="D119" s="1"/>
      <c r="E119" t="e">
        <f>VLOOKUP(Table_query3[[#This Row],[Metrics]],Metrics!A:C,3,0)</f>
        <v>#N/A</v>
      </c>
      <c r="F119" t="e">
        <f>VLOOKUP(Table_query3[[#This Row],[Metrics]],Metrics!A:C,2,0)</f>
        <v>#N/A</v>
      </c>
      <c r="H119" s="1"/>
    </row>
    <row r="120" spans="1:8" hidden="1" x14ac:dyDescent="0.25">
      <c r="A120" s="1"/>
      <c r="B120" s="4"/>
      <c r="C120" s="1"/>
      <c r="D120" s="1"/>
      <c r="E120" t="e">
        <f>VLOOKUP(Table_query3[[#This Row],[Metrics]],Metrics!A:C,3,0)</f>
        <v>#N/A</v>
      </c>
      <c r="F120" t="e">
        <f>VLOOKUP(Table_query3[[#This Row],[Metrics]],Metrics!A:C,2,0)</f>
        <v>#N/A</v>
      </c>
      <c r="H120" s="1"/>
    </row>
    <row r="121" spans="1:8" hidden="1" x14ac:dyDescent="0.25">
      <c r="A121" s="1"/>
      <c r="B121" s="4"/>
      <c r="C121" s="1"/>
      <c r="D121" s="1"/>
      <c r="E121" t="e">
        <f>VLOOKUP(Table_query3[[#This Row],[Metrics]],Metrics!A:C,3,0)</f>
        <v>#N/A</v>
      </c>
      <c r="F121" t="e">
        <f>VLOOKUP(Table_query3[[#This Row],[Metrics]],Metrics!A:C,2,0)</f>
        <v>#N/A</v>
      </c>
      <c r="H121" s="1"/>
    </row>
    <row r="122" spans="1:8" hidden="1" x14ac:dyDescent="0.25">
      <c r="A122" s="1"/>
      <c r="B122" s="4"/>
      <c r="C122" s="1"/>
      <c r="D122" s="1"/>
      <c r="E122" t="e">
        <f>VLOOKUP(Table_query3[[#This Row],[Metrics]],Metrics!A:C,3,0)</f>
        <v>#N/A</v>
      </c>
      <c r="F122" t="e">
        <f>VLOOKUP(Table_query3[[#This Row],[Metrics]],Metrics!A:C,2,0)</f>
        <v>#N/A</v>
      </c>
      <c r="H122" s="1"/>
    </row>
    <row r="123" spans="1:8" hidden="1" x14ac:dyDescent="0.25">
      <c r="A123" s="1"/>
      <c r="B123" s="4"/>
      <c r="C123" s="1"/>
      <c r="D123" s="1"/>
      <c r="E123" t="e">
        <f>VLOOKUP(Table_query3[[#This Row],[Metrics]],Metrics!A:C,3,0)</f>
        <v>#N/A</v>
      </c>
      <c r="F123" t="e">
        <f>VLOOKUP(Table_query3[[#This Row],[Metrics]],Metrics!A:C,2,0)</f>
        <v>#N/A</v>
      </c>
      <c r="H123" s="1"/>
    </row>
    <row r="124" spans="1:8" hidden="1" x14ac:dyDescent="0.25">
      <c r="A124" s="1"/>
      <c r="B124" s="4"/>
      <c r="C124" s="1"/>
      <c r="D124" s="1"/>
      <c r="E124" t="e">
        <f>VLOOKUP(Table_query3[[#This Row],[Metrics]],Metrics!A:C,3,0)</f>
        <v>#N/A</v>
      </c>
      <c r="F124" t="e">
        <f>VLOOKUP(Table_query3[[#This Row],[Metrics]],Metrics!A:C,2,0)</f>
        <v>#N/A</v>
      </c>
      <c r="H124" s="1"/>
    </row>
    <row r="125" spans="1:8" hidden="1" x14ac:dyDescent="0.25">
      <c r="A125" s="1"/>
      <c r="B125" s="4"/>
      <c r="C125" s="1"/>
      <c r="D125" s="1"/>
      <c r="E125" t="e">
        <f>VLOOKUP(Table_query3[[#This Row],[Metrics]],Metrics!A:C,3,0)</f>
        <v>#N/A</v>
      </c>
      <c r="F125" t="e">
        <f>VLOOKUP(Table_query3[[#This Row],[Metrics]],Metrics!A:C,2,0)</f>
        <v>#N/A</v>
      </c>
      <c r="H125" s="1"/>
    </row>
    <row r="126" spans="1:8" hidden="1" x14ac:dyDescent="0.25">
      <c r="A126" s="1"/>
      <c r="B126" s="4"/>
      <c r="C126" s="1"/>
      <c r="D126" s="1"/>
      <c r="E126" t="e">
        <f>VLOOKUP(Table_query3[[#This Row],[Metrics]],Metrics!A:C,3,0)</f>
        <v>#N/A</v>
      </c>
      <c r="F126" t="e">
        <f>VLOOKUP(Table_query3[[#This Row],[Metrics]],Metrics!A:C,2,0)</f>
        <v>#N/A</v>
      </c>
      <c r="H126" s="1"/>
    </row>
    <row r="127" spans="1:8" hidden="1" x14ac:dyDescent="0.25">
      <c r="A127" s="1"/>
      <c r="B127" s="4"/>
      <c r="C127" s="1"/>
      <c r="D127" s="1"/>
      <c r="E127" t="e">
        <f>VLOOKUP(Table_query3[[#This Row],[Metrics]],Metrics!A:C,3,0)</f>
        <v>#N/A</v>
      </c>
      <c r="F127" t="e">
        <f>VLOOKUP(Table_query3[[#This Row],[Metrics]],Metrics!A:C,2,0)</f>
        <v>#N/A</v>
      </c>
      <c r="H127" s="1"/>
    </row>
    <row r="128" spans="1:8" hidden="1" x14ac:dyDescent="0.25">
      <c r="A128" s="1"/>
      <c r="B128" s="4"/>
      <c r="C128" s="1"/>
      <c r="D128" s="1"/>
      <c r="E128" t="e">
        <f>VLOOKUP(Table_query3[[#This Row],[Metrics]],Metrics!A:C,3,0)</f>
        <v>#N/A</v>
      </c>
      <c r="F128" t="e">
        <f>VLOOKUP(Table_query3[[#This Row],[Metrics]],Metrics!A:C,2,0)</f>
        <v>#N/A</v>
      </c>
      <c r="H128" s="1"/>
    </row>
    <row r="129" spans="1:8" hidden="1" x14ac:dyDescent="0.25">
      <c r="A129" s="1"/>
      <c r="B129" s="4"/>
      <c r="C129" s="1"/>
      <c r="D129" s="1"/>
      <c r="E129" t="e">
        <f>VLOOKUP(Table_query3[[#This Row],[Metrics]],Metrics!A:C,3,0)</f>
        <v>#N/A</v>
      </c>
      <c r="F129" t="e">
        <f>VLOOKUP(Table_query3[[#This Row],[Metrics]],Metrics!A:C,2,0)</f>
        <v>#N/A</v>
      </c>
      <c r="H129" s="1"/>
    </row>
    <row r="130" spans="1:8" hidden="1" x14ac:dyDescent="0.25">
      <c r="A130" s="1"/>
      <c r="B130" s="4"/>
      <c r="C130" s="1"/>
      <c r="D130" s="1"/>
      <c r="E130" t="e">
        <f>VLOOKUP(Table_query3[[#This Row],[Metrics]],Metrics!A:C,3,0)</f>
        <v>#N/A</v>
      </c>
      <c r="F130" t="e">
        <f>VLOOKUP(Table_query3[[#This Row],[Metrics]],Metrics!A:C,2,0)</f>
        <v>#N/A</v>
      </c>
      <c r="H130" s="1"/>
    </row>
    <row r="131" spans="1:8" hidden="1" x14ac:dyDescent="0.25">
      <c r="A131" s="1"/>
      <c r="B131" s="4"/>
      <c r="C131" s="1"/>
      <c r="D131" s="1"/>
      <c r="E131" t="e">
        <f>VLOOKUP(Table_query3[[#This Row],[Metrics]],Metrics!A:C,3,0)</f>
        <v>#N/A</v>
      </c>
      <c r="F131" t="e">
        <f>VLOOKUP(Table_query3[[#This Row],[Metrics]],Metrics!A:C,2,0)</f>
        <v>#N/A</v>
      </c>
      <c r="H131" s="1"/>
    </row>
    <row r="132" spans="1:8" hidden="1" x14ac:dyDescent="0.25">
      <c r="A132" s="1"/>
      <c r="B132" s="4"/>
      <c r="C132" s="1"/>
      <c r="D132" s="1"/>
      <c r="E132" t="e">
        <f>VLOOKUP(Table_query3[[#This Row],[Metrics]],Metrics!A:C,3,0)</f>
        <v>#N/A</v>
      </c>
      <c r="F132" t="e">
        <f>VLOOKUP(Table_query3[[#This Row],[Metrics]],Metrics!A:C,2,0)</f>
        <v>#N/A</v>
      </c>
      <c r="H132" s="1"/>
    </row>
    <row r="133" spans="1:8" hidden="1" x14ac:dyDescent="0.25">
      <c r="A133" s="1"/>
      <c r="B133" s="4"/>
      <c r="C133" s="1"/>
      <c r="D133" s="1"/>
      <c r="E133" t="e">
        <f>VLOOKUP(Table_query3[[#This Row],[Metrics]],Metrics!A:C,3,0)</f>
        <v>#N/A</v>
      </c>
      <c r="F133" t="e">
        <f>VLOOKUP(Table_query3[[#This Row],[Metrics]],Metrics!A:C,2,0)</f>
        <v>#N/A</v>
      </c>
      <c r="H133" s="1"/>
    </row>
    <row r="134" spans="1:8" hidden="1" x14ac:dyDescent="0.25">
      <c r="A134" s="1"/>
      <c r="B134" s="4"/>
      <c r="C134" s="1"/>
      <c r="D134" s="1"/>
      <c r="E134" t="e">
        <f>VLOOKUP(Table_query3[[#This Row],[Metrics]],Metrics!A:C,3,0)</f>
        <v>#N/A</v>
      </c>
      <c r="F134" t="e">
        <f>VLOOKUP(Table_query3[[#This Row],[Metrics]],Metrics!A:C,2,0)</f>
        <v>#N/A</v>
      </c>
      <c r="H134" s="1"/>
    </row>
    <row r="135" spans="1:8" hidden="1" x14ac:dyDescent="0.25">
      <c r="A135" s="1"/>
      <c r="B135" s="4"/>
      <c r="C135" s="1"/>
      <c r="D135" s="1"/>
      <c r="E135" t="e">
        <f>VLOOKUP(Table_query3[[#This Row],[Metrics]],Metrics!A:C,3,0)</f>
        <v>#N/A</v>
      </c>
      <c r="F135" t="e">
        <f>VLOOKUP(Table_query3[[#This Row],[Metrics]],Metrics!A:C,2,0)</f>
        <v>#N/A</v>
      </c>
      <c r="H135" s="1"/>
    </row>
    <row r="136" spans="1:8" hidden="1" x14ac:dyDescent="0.25">
      <c r="A136" s="1"/>
      <c r="B136" s="4"/>
      <c r="C136" s="1"/>
      <c r="D136" s="1"/>
      <c r="E136" t="e">
        <f>VLOOKUP(Table_query3[[#This Row],[Metrics]],Metrics!A:C,3,0)</f>
        <v>#N/A</v>
      </c>
      <c r="F136" t="e">
        <f>VLOOKUP(Table_query3[[#This Row],[Metrics]],Metrics!A:C,2,0)</f>
        <v>#N/A</v>
      </c>
      <c r="H136" s="1"/>
    </row>
    <row r="137" spans="1:8" hidden="1" x14ac:dyDescent="0.25">
      <c r="A137" s="1"/>
      <c r="B137" s="4"/>
      <c r="C137" s="1"/>
      <c r="D137" s="1"/>
      <c r="E137" t="e">
        <f>VLOOKUP(Table_query3[[#This Row],[Metrics]],Metrics!A:C,3,0)</f>
        <v>#N/A</v>
      </c>
      <c r="F137" t="e">
        <f>VLOOKUP(Table_query3[[#This Row],[Metrics]],Metrics!A:C,2,0)</f>
        <v>#N/A</v>
      </c>
      <c r="H137" s="1"/>
    </row>
    <row r="138" spans="1:8" hidden="1" x14ac:dyDescent="0.25">
      <c r="A138" s="1"/>
      <c r="B138" s="4"/>
      <c r="C138" s="1"/>
      <c r="D138" s="1"/>
      <c r="E138" t="e">
        <f>VLOOKUP(Table_query3[[#This Row],[Metrics]],Metrics!A:C,3,0)</f>
        <v>#N/A</v>
      </c>
      <c r="F138" t="e">
        <f>VLOOKUP(Table_query3[[#This Row],[Metrics]],Metrics!A:C,2,0)</f>
        <v>#N/A</v>
      </c>
      <c r="H138" s="1"/>
    </row>
    <row r="139" spans="1:8" hidden="1" x14ac:dyDescent="0.25">
      <c r="A139" s="1"/>
      <c r="B139" s="4"/>
      <c r="C139" s="1"/>
      <c r="D139" s="1"/>
      <c r="E139" t="e">
        <f>VLOOKUP(Table_query3[[#This Row],[Metrics]],Metrics!A:C,3,0)</f>
        <v>#N/A</v>
      </c>
      <c r="F139" t="e">
        <f>VLOOKUP(Table_query3[[#This Row],[Metrics]],Metrics!A:C,2,0)</f>
        <v>#N/A</v>
      </c>
      <c r="H139" s="1"/>
    </row>
    <row r="140" spans="1:8" hidden="1" x14ac:dyDescent="0.25">
      <c r="A140" s="1"/>
      <c r="B140" s="4"/>
      <c r="C140" s="1"/>
      <c r="D140" s="1"/>
      <c r="E140" t="e">
        <f>VLOOKUP(Table_query3[[#This Row],[Metrics]],Metrics!A:C,3,0)</f>
        <v>#N/A</v>
      </c>
      <c r="F140" t="e">
        <f>VLOOKUP(Table_query3[[#This Row],[Metrics]],Metrics!A:C,2,0)</f>
        <v>#N/A</v>
      </c>
      <c r="H140" s="1"/>
    </row>
    <row r="141" spans="1:8" hidden="1" x14ac:dyDescent="0.25">
      <c r="A141" s="1"/>
      <c r="B141" s="4"/>
      <c r="C141" s="1"/>
      <c r="D141" s="1"/>
      <c r="E141" t="e">
        <f>VLOOKUP(Table_query3[[#This Row],[Metrics]],Metrics!A:C,3,0)</f>
        <v>#N/A</v>
      </c>
      <c r="F141" t="e">
        <f>VLOOKUP(Table_query3[[#This Row],[Metrics]],Metrics!A:C,2,0)</f>
        <v>#N/A</v>
      </c>
      <c r="H141" s="1"/>
    </row>
    <row r="142" spans="1:8" hidden="1" x14ac:dyDescent="0.25">
      <c r="A142" s="1"/>
      <c r="B142" s="4"/>
      <c r="C142" s="1"/>
      <c r="D142" s="1"/>
      <c r="E142" t="e">
        <f>VLOOKUP(Table_query3[[#This Row],[Metrics]],Metrics!A:C,3,0)</f>
        <v>#N/A</v>
      </c>
      <c r="F142" t="e">
        <f>VLOOKUP(Table_query3[[#This Row],[Metrics]],Metrics!A:C,2,0)</f>
        <v>#N/A</v>
      </c>
      <c r="H142" s="1"/>
    </row>
    <row r="143" spans="1:8" hidden="1" x14ac:dyDescent="0.25">
      <c r="A143" s="1"/>
      <c r="B143" s="4"/>
      <c r="C143" s="1"/>
      <c r="D143" s="1"/>
      <c r="E143" t="e">
        <f>VLOOKUP(Table_query3[[#This Row],[Metrics]],Metrics!A:C,3,0)</f>
        <v>#N/A</v>
      </c>
      <c r="F143" t="e">
        <f>VLOOKUP(Table_query3[[#This Row],[Metrics]],Metrics!A:C,2,0)</f>
        <v>#N/A</v>
      </c>
      <c r="H143" s="1"/>
    </row>
    <row r="144" spans="1:8" hidden="1" x14ac:dyDescent="0.25">
      <c r="A144" s="1"/>
      <c r="B144" s="4"/>
      <c r="C144" s="1"/>
      <c r="D144" s="1"/>
      <c r="E144" t="e">
        <f>VLOOKUP(Table_query3[[#This Row],[Metrics]],Metrics!A:C,3,0)</f>
        <v>#N/A</v>
      </c>
      <c r="F144" t="e">
        <f>VLOOKUP(Table_query3[[#This Row],[Metrics]],Metrics!A:C,2,0)</f>
        <v>#N/A</v>
      </c>
      <c r="H144" s="1"/>
    </row>
    <row r="145" spans="1:8" hidden="1" x14ac:dyDescent="0.25">
      <c r="A145" s="1"/>
      <c r="B145" s="4"/>
      <c r="C145" s="1"/>
      <c r="D145" s="1"/>
      <c r="E145" t="e">
        <f>VLOOKUP(Table_query3[[#This Row],[Metrics]],Metrics!A:C,3,0)</f>
        <v>#N/A</v>
      </c>
      <c r="F145" t="e">
        <f>VLOOKUP(Table_query3[[#This Row],[Metrics]],Metrics!A:C,2,0)</f>
        <v>#N/A</v>
      </c>
      <c r="H145" s="1"/>
    </row>
    <row r="146" spans="1:8" hidden="1" x14ac:dyDescent="0.25">
      <c r="A146" s="1"/>
      <c r="B146" s="4"/>
      <c r="C146" s="1"/>
      <c r="D146" s="1"/>
      <c r="E146" t="e">
        <f>VLOOKUP(Table_query3[[#This Row],[Metrics]],Metrics!A:C,3,0)</f>
        <v>#N/A</v>
      </c>
      <c r="F146" t="e">
        <f>VLOOKUP(Table_query3[[#This Row],[Metrics]],Metrics!A:C,2,0)</f>
        <v>#N/A</v>
      </c>
      <c r="H146" s="1"/>
    </row>
    <row r="147" spans="1:8" hidden="1" x14ac:dyDescent="0.25">
      <c r="A147" s="1"/>
      <c r="B147" s="4"/>
      <c r="C147" s="1"/>
      <c r="D147" s="1"/>
      <c r="E147" t="e">
        <f>VLOOKUP(Table_query3[[#This Row],[Metrics]],Metrics!A:C,3,0)</f>
        <v>#N/A</v>
      </c>
      <c r="F147" t="e">
        <f>VLOOKUP(Table_query3[[#This Row],[Metrics]],Metrics!A:C,2,0)</f>
        <v>#N/A</v>
      </c>
      <c r="H147" s="1"/>
    </row>
    <row r="148" spans="1:8" hidden="1" x14ac:dyDescent="0.25">
      <c r="A148" s="1"/>
      <c r="B148" s="4"/>
      <c r="C148" s="1"/>
      <c r="D148" s="1"/>
      <c r="E148" t="e">
        <f>VLOOKUP(Table_query3[[#This Row],[Metrics]],Metrics!A:C,3,0)</f>
        <v>#N/A</v>
      </c>
      <c r="F148" t="e">
        <f>VLOOKUP(Table_query3[[#This Row],[Metrics]],Metrics!A:C,2,0)</f>
        <v>#N/A</v>
      </c>
      <c r="H148" s="1"/>
    </row>
    <row r="149" spans="1:8" hidden="1" x14ac:dyDescent="0.25">
      <c r="A149" s="1"/>
      <c r="B149" s="4"/>
      <c r="C149" s="1"/>
      <c r="D149" s="1"/>
      <c r="E149" t="e">
        <f>VLOOKUP(Table_query3[[#This Row],[Metrics]],Metrics!A:C,3,0)</f>
        <v>#N/A</v>
      </c>
      <c r="F149" t="e">
        <f>VLOOKUP(Table_query3[[#This Row],[Metrics]],Metrics!A:C,2,0)</f>
        <v>#N/A</v>
      </c>
      <c r="H149" s="1"/>
    </row>
    <row r="150" spans="1:8" hidden="1" x14ac:dyDescent="0.25">
      <c r="A150" s="1"/>
      <c r="B150" s="4"/>
      <c r="C150" s="1"/>
      <c r="D150" s="1"/>
      <c r="E150" t="e">
        <f>VLOOKUP(Table_query3[[#This Row],[Metrics]],Metrics!A:C,3,0)</f>
        <v>#N/A</v>
      </c>
      <c r="F150" t="e">
        <f>VLOOKUP(Table_query3[[#This Row],[Metrics]],Metrics!A:C,2,0)</f>
        <v>#N/A</v>
      </c>
      <c r="H150" s="1"/>
    </row>
    <row r="151" spans="1:8" hidden="1" x14ac:dyDescent="0.25">
      <c r="A151" s="1"/>
      <c r="B151" s="4"/>
      <c r="C151" s="1"/>
      <c r="D151" s="1"/>
      <c r="E151" t="e">
        <f>VLOOKUP(Table_query3[[#This Row],[Metrics]],Metrics!A:C,3,0)</f>
        <v>#N/A</v>
      </c>
      <c r="F151" t="e">
        <f>VLOOKUP(Table_query3[[#This Row],[Metrics]],Metrics!A:C,2,0)</f>
        <v>#N/A</v>
      </c>
      <c r="H151" s="1"/>
    </row>
    <row r="152" spans="1:8" hidden="1" x14ac:dyDescent="0.25">
      <c r="A152" s="1"/>
      <c r="B152" s="4"/>
      <c r="C152" s="1"/>
      <c r="D152" s="1"/>
      <c r="E152" t="e">
        <f>VLOOKUP(Table_query3[[#This Row],[Metrics]],Metrics!A:C,3,0)</f>
        <v>#N/A</v>
      </c>
      <c r="F152" t="e">
        <f>VLOOKUP(Table_query3[[#This Row],[Metrics]],Metrics!A:C,2,0)</f>
        <v>#N/A</v>
      </c>
      <c r="H152" s="1"/>
    </row>
    <row r="153" spans="1:8" hidden="1" x14ac:dyDescent="0.25">
      <c r="A153" s="1"/>
      <c r="B153" s="4"/>
      <c r="C153" s="1"/>
      <c r="D153" s="1"/>
      <c r="E153" t="e">
        <f>VLOOKUP(Table_query3[[#This Row],[Metrics]],Metrics!A:C,3,0)</f>
        <v>#N/A</v>
      </c>
      <c r="F153" t="e">
        <f>VLOOKUP(Table_query3[[#This Row],[Metrics]],Metrics!A:C,2,0)</f>
        <v>#N/A</v>
      </c>
      <c r="H153" s="1"/>
    </row>
    <row r="154" spans="1:8" hidden="1" x14ac:dyDescent="0.25">
      <c r="A154" s="1"/>
      <c r="B154" s="4"/>
      <c r="C154" s="1"/>
      <c r="D154" s="1"/>
      <c r="E154" t="e">
        <f>VLOOKUP(Table_query3[[#This Row],[Metrics]],Metrics!A:C,3,0)</f>
        <v>#N/A</v>
      </c>
      <c r="F154" t="e">
        <f>VLOOKUP(Table_query3[[#This Row],[Metrics]],Metrics!A:C,2,0)</f>
        <v>#N/A</v>
      </c>
      <c r="H154" s="1"/>
    </row>
    <row r="155" spans="1:8" hidden="1" x14ac:dyDescent="0.25">
      <c r="A155" s="1"/>
      <c r="B155" s="4"/>
      <c r="C155" s="1"/>
      <c r="D155" s="1"/>
      <c r="E155" t="e">
        <f>VLOOKUP(Table_query3[[#This Row],[Metrics]],Metrics!A:C,3,0)</f>
        <v>#N/A</v>
      </c>
      <c r="F155" t="e">
        <f>VLOOKUP(Table_query3[[#This Row],[Metrics]],Metrics!A:C,2,0)</f>
        <v>#N/A</v>
      </c>
      <c r="H155" s="1"/>
    </row>
    <row r="156" spans="1:8" hidden="1" x14ac:dyDescent="0.25">
      <c r="A156" s="1"/>
      <c r="B156" s="4"/>
      <c r="C156" s="1"/>
      <c r="D156" s="1"/>
      <c r="E156" t="e">
        <f>VLOOKUP(Table_query3[[#This Row],[Metrics]],Metrics!A:C,3,0)</f>
        <v>#N/A</v>
      </c>
      <c r="F156" t="e">
        <f>VLOOKUP(Table_query3[[#This Row],[Metrics]],Metrics!A:C,2,0)</f>
        <v>#N/A</v>
      </c>
      <c r="H156" s="1"/>
    </row>
    <row r="157" spans="1:8" hidden="1" x14ac:dyDescent="0.25">
      <c r="A157" s="1"/>
      <c r="B157" s="4"/>
      <c r="C157" s="1"/>
      <c r="D157" s="1"/>
      <c r="E157" t="e">
        <f>VLOOKUP(Table_query3[[#This Row],[Metrics]],Metrics!A:C,3,0)</f>
        <v>#N/A</v>
      </c>
      <c r="F157" t="e">
        <f>VLOOKUP(Table_query3[[#This Row],[Metrics]],Metrics!A:C,2,0)</f>
        <v>#N/A</v>
      </c>
      <c r="H157" s="1"/>
    </row>
    <row r="158" spans="1:8" hidden="1" x14ac:dyDescent="0.25">
      <c r="A158" s="1"/>
      <c r="B158" s="4"/>
      <c r="C158" s="1"/>
      <c r="D158" s="1"/>
      <c r="E158" t="e">
        <f>VLOOKUP(Table_query3[[#This Row],[Metrics]],Metrics!A:C,3,0)</f>
        <v>#N/A</v>
      </c>
      <c r="F158" t="e">
        <f>VLOOKUP(Table_query3[[#This Row],[Metrics]],Metrics!A:C,2,0)</f>
        <v>#N/A</v>
      </c>
      <c r="H158" s="1"/>
    </row>
    <row r="159" spans="1:8" hidden="1" x14ac:dyDescent="0.25">
      <c r="A159" s="1"/>
      <c r="B159" s="4"/>
      <c r="C159" s="1"/>
      <c r="D159" s="1"/>
      <c r="E159" t="e">
        <f>VLOOKUP(Table_query3[[#This Row],[Metrics]],Metrics!A:C,3,0)</f>
        <v>#N/A</v>
      </c>
      <c r="F159" t="e">
        <f>VLOOKUP(Table_query3[[#This Row],[Metrics]],Metrics!A:C,2,0)</f>
        <v>#N/A</v>
      </c>
      <c r="H159" s="1"/>
    </row>
    <row r="160" spans="1:8" hidden="1" x14ac:dyDescent="0.25">
      <c r="A160" s="1"/>
      <c r="B160" s="4"/>
      <c r="C160" s="1"/>
      <c r="D160" s="1"/>
      <c r="E160" t="e">
        <f>VLOOKUP(Table_query3[[#This Row],[Metrics]],Metrics!A:C,3,0)</f>
        <v>#N/A</v>
      </c>
      <c r="F160" t="e">
        <f>VLOOKUP(Table_query3[[#This Row],[Metrics]],Metrics!A:C,2,0)</f>
        <v>#N/A</v>
      </c>
      <c r="H160" s="1"/>
    </row>
    <row r="161" spans="1:8" hidden="1" x14ac:dyDescent="0.25">
      <c r="A161" s="1"/>
      <c r="B161" s="4"/>
      <c r="C161" s="1"/>
      <c r="D161" s="1"/>
      <c r="E161" t="e">
        <f>VLOOKUP(Table_query3[[#This Row],[Metrics]],Metrics!A:C,3,0)</f>
        <v>#N/A</v>
      </c>
      <c r="F161" t="e">
        <f>VLOOKUP(Table_query3[[#This Row],[Metrics]],Metrics!A:C,2,0)</f>
        <v>#N/A</v>
      </c>
      <c r="H161" s="1"/>
    </row>
    <row r="162" spans="1:8" hidden="1" x14ac:dyDescent="0.25">
      <c r="A162" s="1"/>
      <c r="B162" s="4"/>
      <c r="C162" s="1"/>
      <c r="D162" s="1"/>
      <c r="E162" t="e">
        <f>VLOOKUP(Table_query3[[#This Row],[Metrics]],Metrics!A:C,3,0)</f>
        <v>#N/A</v>
      </c>
      <c r="F162" t="e">
        <f>VLOOKUP(Table_query3[[#This Row],[Metrics]],Metrics!A:C,2,0)</f>
        <v>#N/A</v>
      </c>
      <c r="H162" s="1"/>
    </row>
    <row r="163" spans="1:8" hidden="1" x14ac:dyDescent="0.25">
      <c r="A163" s="1"/>
      <c r="B163" s="4"/>
      <c r="C163" s="1"/>
      <c r="D163" s="1"/>
      <c r="E163" t="e">
        <f>VLOOKUP(Table_query3[[#This Row],[Metrics]],Metrics!A:C,3,0)</f>
        <v>#N/A</v>
      </c>
      <c r="F163" t="e">
        <f>VLOOKUP(Table_query3[[#This Row],[Metrics]],Metrics!A:C,2,0)</f>
        <v>#N/A</v>
      </c>
      <c r="H163" s="1"/>
    </row>
    <row r="164" spans="1:8" hidden="1" x14ac:dyDescent="0.25">
      <c r="A164" s="1"/>
      <c r="B164" s="4"/>
      <c r="C164" s="1"/>
      <c r="D164" s="1"/>
      <c r="E164" t="e">
        <f>VLOOKUP(Table_query3[[#This Row],[Metrics]],Metrics!A:C,3,0)</f>
        <v>#N/A</v>
      </c>
      <c r="F164" t="e">
        <f>VLOOKUP(Table_query3[[#This Row],[Metrics]],Metrics!A:C,2,0)</f>
        <v>#N/A</v>
      </c>
      <c r="H164" s="1"/>
    </row>
    <row r="165" spans="1:8" hidden="1" x14ac:dyDescent="0.25">
      <c r="A165" s="1"/>
      <c r="B165" s="4"/>
      <c r="C165" s="1"/>
      <c r="D165" s="1"/>
      <c r="E165" t="e">
        <f>VLOOKUP(Table_query3[[#This Row],[Metrics]],Metrics!A:C,3,0)</f>
        <v>#N/A</v>
      </c>
      <c r="F165" t="e">
        <f>VLOOKUP(Table_query3[[#This Row],[Metrics]],Metrics!A:C,2,0)</f>
        <v>#N/A</v>
      </c>
      <c r="H165" s="1"/>
    </row>
    <row r="166" spans="1:8" hidden="1" x14ac:dyDescent="0.25">
      <c r="A166" s="1"/>
      <c r="B166" s="4"/>
      <c r="C166" s="1"/>
      <c r="D166" s="1"/>
      <c r="E166" t="e">
        <f>VLOOKUP(Table_query3[[#This Row],[Metrics]],Metrics!A:C,3,0)</f>
        <v>#N/A</v>
      </c>
      <c r="F166" t="e">
        <f>VLOOKUP(Table_query3[[#This Row],[Metrics]],Metrics!A:C,2,0)</f>
        <v>#N/A</v>
      </c>
      <c r="H166" s="1"/>
    </row>
    <row r="167" spans="1:8" hidden="1" x14ac:dyDescent="0.25">
      <c r="A167" s="1"/>
      <c r="B167" s="4"/>
      <c r="C167" s="1"/>
      <c r="D167" s="1"/>
      <c r="E167" t="e">
        <f>VLOOKUP(Table_query3[[#This Row],[Metrics]],Metrics!A:C,3,0)</f>
        <v>#N/A</v>
      </c>
      <c r="F167" t="e">
        <f>VLOOKUP(Table_query3[[#This Row],[Metrics]],Metrics!A:C,2,0)</f>
        <v>#N/A</v>
      </c>
      <c r="H167" s="1"/>
    </row>
    <row r="168" spans="1:8" hidden="1" x14ac:dyDescent="0.25">
      <c r="A168" s="1"/>
      <c r="B168" s="4"/>
      <c r="C168" s="1"/>
      <c r="D168" s="1"/>
      <c r="E168" t="e">
        <f>VLOOKUP(Table_query3[[#This Row],[Metrics]],Metrics!A:C,3,0)</f>
        <v>#N/A</v>
      </c>
      <c r="F168" t="e">
        <f>VLOOKUP(Table_query3[[#This Row],[Metrics]],Metrics!A:C,2,0)</f>
        <v>#N/A</v>
      </c>
      <c r="H168" s="1"/>
    </row>
    <row r="169" spans="1:8" hidden="1" x14ac:dyDescent="0.25">
      <c r="A169" s="1"/>
      <c r="B169" s="4"/>
      <c r="C169" s="1"/>
      <c r="D169" s="1"/>
      <c r="E169" t="e">
        <f>VLOOKUP(Table_query3[[#This Row],[Metrics]],Metrics!A:C,3,0)</f>
        <v>#N/A</v>
      </c>
      <c r="F169" t="e">
        <f>VLOOKUP(Table_query3[[#This Row],[Metrics]],Metrics!A:C,2,0)</f>
        <v>#N/A</v>
      </c>
      <c r="H169" s="1"/>
    </row>
    <row r="170" spans="1:8" hidden="1" x14ac:dyDescent="0.25">
      <c r="A170" s="1"/>
      <c r="B170" s="4"/>
      <c r="C170" s="1"/>
      <c r="D170" s="1"/>
      <c r="E170" t="e">
        <f>VLOOKUP(Table_query3[[#This Row],[Metrics]],Metrics!A:C,3,0)</f>
        <v>#N/A</v>
      </c>
      <c r="F170" t="e">
        <f>VLOOKUP(Table_query3[[#This Row],[Metrics]],Metrics!A:C,2,0)</f>
        <v>#N/A</v>
      </c>
      <c r="H170" s="1"/>
    </row>
    <row r="171" spans="1:8" hidden="1" x14ac:dyDescent="0.25">
      <c r="A171" s="1"/>
      <c r="B171" s="4"/>
      <c r="C171" s="1"/>
      <c r="D171" s="1"/>
      <c r="E171" t="e">
        <f>VLOOKUP(Table_query3[[#This Row],[Metrics]],Metrics!A:C,3,0)</f>
        <v>#N/A</v>
      </c>
      <c r="F171" t="e">
        <f>VLOOKUP(Table_query3[[#This Row],[Metrics]],Metrics!A:C,2,0)</f>
        <v>#N/A</v>
      </c>
      <c r="H171" s="1"/>
    </row>
    <row r="172" spans="1:8" hidden="1" x14ac:dyDescent="0.25">
      <c r="A172" s="1"/>
      <c r="B172" s="4"/>
      <c r="C172" s="1"/>
      <c r="D172" s="1"/>
      <c r="E172" t="e">
        <f>VLOOKUP(Table_query3[[#This Row],[Metrics]],Metrics!A:C,3,0)</f>
        <v>#N/A</v>
      </c>
      <c r="F172" t="e">
        <f>VLOOKUP(Table_query3[[#This Row],[Metrics]],Metrics!A:C,2,0)</f>
        <v>#N/A</v>
      </c>
      <c r="H172" s="1"/>
    </row>
    <row r="173" spans="1:8" hidden="1" x14ac:dyDescent="0.25">
      <c r="A173" s="1"/>
      <c r="B173" s="4"/>
      <c r="C173" s="1"/>
      <c r="D173" s="1"/>
      <c r="E173" t="e">
        <f>VLOOKUP(Table_query3[[#This Row],[Metrics]],Metrics!A:C,3,0)</f>
        <v>#N/A</v>
      </c>
      <c r="F173" t="e">
        <f>VLOOKUP(Table_query3[[#This Row],[Metrics]],Metrics!A:C,2,0)</f>
        <v>#N/A</v>
      </c>
      <c r="H173" s="1"/>
    </row>
    <row r="174" spans="1:8" hidden="1" x14ac:dyDescent="0.25">
      <c r="A174" s="1"/>
      <c r="B174" s="4"/>
      <c r="C174" s="1"/>
      <c r="D174" s="1"/>
      <c r="E174" t="e">
        <f>VLOOKUP(Table_query3[[#This Row],[Metrics]],Metrics!A:C,3,0)</f>
        <v>#N/A</v>
      </c>
      <c r="F174" t="e">
        <f>VLOOKUP(Table_query3[[#This Row],[Metrics]],Metrics!A:C,2,0)</f>
        <v>#N/A</v>
      </c>
      <c r="H174" s="1"/>
    </row>
    <row r="175" spans="1:8" hidden="1" x14ac:dyDescent="0.25">
      <c r="A175" s="1"/>
      <c r="B175" s="4"/>
      <c r="C175" s="1"/>
      <c r="D175" s="1"/>
      <c r="E175" t="e">
        <f>VLOOKUP(Table_query3[[#This Row],[Metrics]],Metrics!A:C,3,0)</f>
        <v>#N/A</v>
      </c>
      <c r="F175" t="e">
        <f>VLOOKUP(Table_query3[[#This Row],[Metrics]],Metrics!A:C,2,0)</f>
        <v>#N/A</v>
      </c>
      <c r="H175" s="1"/>
    </row>
    <row r="176" spans="1:8" hidden="1" x14ac:dyDescent="0.25">
      <c r="A176" s="1"/>
      <c r="B176" s="4"/>
      <c r="C176" s="1"/>
      <c r="D176" s="1"/>
      <c r="E176" t="e">
        <f>VLOOKUP(Table_query3[[#This Row],[Metrics]],Metrics!A:C,3,0)</f>
        <v>#N/A</v>
      </c>
      <c r="F176" t="e">
        <f>VLOOKUP(Table_query3[[#This Row],[Metrics]],Metrics!A:C,2,0)</f>
        <v>#N/A</v>
      </c>
      <c r="H176" s="1"/>
    </row>
    <row r="177" spans="1:8" hidden="1" x14ac:dyDescent="0.25">
      <c r="A177" s="1"/>
      <c r="B177" s="4"/>
      <c r="C177" s="1"/>
      <c r="D177" s="1"/>
      <c r="E177" t="e">
        <f>VLOOKUP(Table_query3[[#This Row],[Metrics]],Metrics!A:C,3,0)</f>
        <v>#N/A</v>
      </c>
      <c r="F177" t="e">
        <f>VLOOKUP(Table_query3[[#This Row],[Metrics]],Metrics!A:C,2,0)</f>
        <v>#N/A</v>
      </c>
      <c r="H177" s="1"/>
    </row>
    <row r="178" spans="1:8" hidden="1" x14ac:dyDescent="0.25">
      <c r="A178" s="1"/>
      <c r="B178" s="4"/>
      <c r="C178" s="1"/>
      <c r="D178" s="1"/>
      <c r="E178" t="e">
        <f>VLOOKUP(Table_query3[[#This Row],[Metrics]],Metrics!A:C,3,0)</f>
        <v>#N/A</v>
      </c>
      <c r="F178" t="e">
        <f>VLOOKUP(Table_query3[[#This Row],[Metrics]],Metrics!A:C,2,0)</f>
        <v>#N/A</v>
      </c>
      <c r="H178" s="1"/>
    </row>
    <row r="179" spans="1:8" hidden="1" x14ac:dyDescent="0.25">
      <c r="A179" s="1"/>
      <c r="B179" s="4"/>
      <c r="C179" s="1"/>
      <c r="D179" s="1"/>
      <c r="E179" t="e">
        <f>VLOOKUP(Table_query3[[#This Row],[Metrics]],Metrics!A:C,3,0)</f>
        <v>#N/A</v>
      </c>
      <c r="F179" t="e">
        <f>VLOOKUP(Table_query3[[#This Row],[Metrics]],Metrics!A:C,2,0)</f>
        <v>#N/A</v>
      </c>
      <c r="H179" s="1"/>
    </row>
    <row r="180" spans="1:8" hidden="1" x14ac:dyDescent="0.25">
      <c r="A180" s="1"/>
      <c r="B180" s="4"/>
      <c r="C180" s="1"/>
      <c r="D180" s="1"/>
      <c r="E180" t="e">
        <f>VLOOKUP(Table_query3[[#This Row],[Metrics]],Metrics!A:C,3,0)</f>
        <v>#N/A</v>
      </c>
      <c r="F180" t="e">
        <f>VLOOKUP(Table_query3[[#This Row],[Metrics]],Metrics!A:C,2,0)</f>
        <v>#N/A</v>
      </c>
      <c r="H180" s="1"/>
    </row>
    <row r="181" spans="1:8" hidden="1" x14ac:dyDescent="0.25">
      <c r="A181" s="1"/>
      <c r="B181" s="4"/>
      <c r="C181" s="1"/>
      <c r="D181" s="1"/>
      <c r="E181" t="e">
        <f>VLOOKUP(Table_query3[[#This Row],[Metrics]],Metrics!A:C,3,0)</f>
        <v>#N/A</v>
      </c>
      <c r="F181" t="e">
        <f>VLOOKUP(Table_query3[[#This Row],[Metrics]],Metrics!A:C,2,0)</f>
        <v>#N/A</v>
      </c>
      <c r="H181" s="1"/>
    </row>
    <row r="182" spans="1:8" hidden="1" x14ac:dyDescent="0.25">
      <c r="A182" s="1"/>
      <c r="B182" s="4"/>
      <c r="C182" s="1"/>
      <c r="D182" s="1"/>
      <c r="E182" t="e">
        <f>VLOOKUP(Table_query3[[#This Row],[Metrics]],Metrics!A:C,3,0)</f>
        <v>#N/A</v>
      </c>
      <c r="F182" t="e">
        <f>VLOOKUP(Table_query3[[#This Row],[Metrics]],Metrics!A:C,2,0)</f>
        <v>#N/A</v>
      </c>
      <c r="H182" s="1"/>
    </row>
    <row r="183" spans="1:8" hidden="1" x14ac:dyDescent="0.25">
      <c r="A183" s="1"/>
      <c r="B183" s="4"/>
      <c r="C183" s="1"/>
      <c r="D183" s="1"/>
      <c r="E183" t="e">
        <f>VLOOKUP(Table_query3[[#This Row],[Metrics]],Metrics!A:C,3,0)</f>
        <v>#N/A</v>
      </c>
      <c r="F183" t="e">
        <f>VLOOKUP(Table_query3[[#This Row],[Metrics]],Metrics!A:C,2,0)</f>
        <v>#N/A</v>
      </c>
      <c r="H183" s="1"/>
    </row>
    <row r="184" spans="1:8" hidden="1" x14ac:dyDescent="0.25">
      <c r="A184" s="1"/>
      <c r="B184" s="4"/>
      <c r="C184" s="1"/>
      <c r="D184" s="1"/>
      <c r="E184" t="e">
        <f>VLOOKUP(Table_query3[[#This Row],[Metrics]],Metrics!A:C,3,0)</f>
        <v>#N/A</v>
      </c>
      <c r="F184" t="e">
        <f>VLOOKUP(Table_query3[[#This Row],[Metrics]],Metrics!A:C,2,0)</f>
        <v>#N/A</v>
      </c>
      <c r="H184" s="1"/>
    </row>
    <row r="185" spans="1:8" hidden="1" x14ac:dyDescent="0.25">
      <c r="A185" s="1"/>
      <c r="B185" s="4"/>
      <c r="C185" s="1"/>
      <c r="D185" s="1"/>
      <c r="E185" t="e">
        <f>VLOOKUP(Table_query3[[#This Row],[Metrics]],Metrics!A:C,3,0)</f>
        <v>#N/A</v>
      </c>
      <c r="F185" t="e">
        <f>VLOOKUP(Table_query3[[#This Row],[Metrics]],Metrics!A:C,2,0)</f>
        <v>#N/A</v>
      </c>
      <c r="H185" s="1"/>
    </row>
    <row r="186" spans="1:8" hidden="1" x14ac:dyDescent="0.25">
      <c r="A186" s="1"/>
      <c r="B186" s="4"/>
      <c r="C186" s="1"/>
      <c r="D186" s="1"/>
      <c r="E186" t="e">
        <f>VLOOKUP(Table_query3[[#This Row],[Metrics]],Metrics!A:C,3,0)</f>
        <v>#N/A</v>
      </c>
      <c r="F186" t="e">
        <f>VLOOKUP(Table_query3[[#This Row],[Metrics]],Metrics!A:C,2,0)</f>
        <v>#N/A</v>
      </c>
      <c r="H186" s="1"/>
    </row>
    <row r="187" spans="1:8" hidden="1" x14ac:dyDescent="0.25">
      <c r="A187" s="1"/>
      <c r="B187" s="4"/>
      <c r="C187" s="1"/>
      <c r="D187" s="1"/>
      <c r="E187" t="e">
        <f>VLOOKUP(Table_query3[[#This Row],[Metrics]],Metrics!A:C,3,0)</f>
        <v>#N/A</v>
      </c>
      <c r="F187" t="e">
        <f>VLOOKUP(Table_query3[[#This Row],[Metrics]],Metrics!A:C,2,0)</f>
        <v>#N/A</v>
      </c>
      <c r="H187" s="1"/>
    </row>
    <row r="188" spans="1:8" hidden="1" x14ac:dyDescent="0.25">
      <c r="A188" s="1"/>
      <c r="B188" s="4"/>
      <c r="C188" s="1"/>
      <c r="D188" s="1"/>
      <c r="E188" t="e">
        <f>VLOOKUP(Table_query3[[#This Row],[Metrics]],Metrics!A:C,3,0)</f>
        <v>#N/A</v>
      </c>
      <c r="F188" t="e">
        <f>VLOOKUP(Table_query3[[#This Row],[Metrics]],Metrics!A:C,2,0)</f>
        <v>#N/A</v>
      </c>
      <c r="H188" s="1"/>
    </row>
    <row r="189" spans="1:8" hidden="1" x14ac:dyDescent="0.25">
      <c r="A189" s="1"/>
      <c r="B189" s="4"/>
      <c r="C189" s="1"/>
      <c r="D189" s="1"/>
      <c r="E189" t="e">
        <f>VLOOKUP(Table_query3[[#This Row],[Metrics]],Metrics!A:C,3,0)</f>
        <v>#N/A</v>
      </c>
      <c r="F189" t="e">
        <f>VLOOKUP(Table_query3[[#This Row],[Metrics]],Metrics!A:C,2,0)</f>
        <v>#N/A</v>
      </c>
      <c r="H189" s="1"/>
    </row>
    <row r="190" spans="1:8" hidden="1" x14ac:dyDescent="0.25">
      <c r="A190" s="1"/>
      <c r="B190" s="4"/>
      <c r="C190" s="1"/>
      <c r="D190" s="1"/>
      <c r="E190" t="e">
        <f>VLOOKUP(Table_query3[[#This Row],[Metrics]],Metrics!A:C,3,0)</f>
        <v>#N/A</v>
      </c>
      <c r="F190" t="e">
        <f>VLOOKUP(Table_query3[[#This Row],[Metrics]],Metrics!A:C,2,0)</f>
        <v>#N/A</v>
      </c>
      <c r="H190" s="1"/>
    </row>
    <row r="191" spans="1:8" hidden="1" x14ac:dyDescent="0.25">
      <c r="A191" s="1"/>
      <c r="B191" s="4"/>
      <c r="C191" s="1"/>
      <c r="D191" s="1"/>
      <c r="E191" t="e">
        <f>VLOOKUP(Table_query3[[#This Row],[Metrics]],Metrics!A:C,3,0)</f>
        <v>#N/A</v>
      </c>
      <c r="F191" t="e">
        <f>VLOOKUP(Table_query3[[#This Row],[Metrics]],Metrics!A:C,2,0)</f>
        <v>#N/A</v>
      </c>
      <c r="H191" s="1"/>
    </row>
    <row r="192" spans="1:8" hidden="1" x14ac:dyDescent="0.25">
      <c r="A192" s="1"/>
      <c r="B192" s="4"/>
      <c r="C192" s="1"/>
      <c r="D192" s="1"/>
      <c r="E192" t="e">
        <f>VLOOKUP(Table_query3[[#This Row],[Metrics]],Metrics!A:C,3,0)</f>
        <v>#N/A</v>
      </c>
      <c r="F192" t="e">
        <f>VLOOKUP(Table_query3[[#This Row],[Metrics]],Metrics!A:C,2,0)</f>
        <v>#N/A</v>
      </c>
      <c r="H192" s="1"/>
    </row>
    <row r="193" spans="1:8" hidden="1" x14ac:dyDescent="0.25">
      <c r="A193" s="1"/>
      <c r="B193" s="4"/>
      <c r="C193" s="1"/>
      <c r="D193" s="1"/>
      <c r="E193" t="e">
        <f>VLOOKUP(Table_query3[[#This Row],[Metrics]],Metrics!A:C,3,0)</f>
        <v>#N/A</v>
      </c>
      <c r="F193" t="e">
        <f>VLOOKUP(Table_query3[[#This Row],[Metrics]],Metrics!A:C,2,0)</f>
        <v>#N/A</v>
      </c>
      <c r="H193" s="1"/>
    </row>
    <row r="194" spans="1:8" hidden="1" x14ac:dyDescent="0.25">
      <c r="A194" s="1"/>
      <c r="B194" s="4"/>
      <c r="C194" s="1"/>
      <c r="D194" s="1"/>
      <c r="E194" t="e">
        <f>VLOOKUP(Table_query3[[#This Row],[Metrics]],Metrics!A:C,3,0)</f>
        <v>#N/A</v>
      </c>
      <c r="F194" t="e">
        <f>VLOOKUP(Table_query3[[#This Row],[Metrics]],Metrics!A:C,2,0)</f>
        <v>#N/A</v>
      </c>
      <c r="H194" s="1"/>
    </row>
    <row r="195" spans="1:8" hidden="1" x14ac:dyDescent="0.25">
      <c r="A195" s="1"/>
      <c r="B195" s="4"/>
      <c r="C195" s="1"/>
      <c r="D195" s="1"/>
      <c r="E195" t="e">
        <f>VLOOKUP(Table_query3[[#This Row],[Metrics]],Metrics!A:C,3,0)</f>
        <v>#N/A</v>
      </c>
      <c r="F195" t="e">
        <f>VLOOKUP(Table_query3[[#This Row],[Metrics]],Metrics!A:C,2,0)</f>
        <v>#N/A</v>
      </c>
      <c r="H195" s="1"/>
    </row>
    <row r="196" spans="1:8" hidden="1" x14ac:dyDescent="0.25">
      <c r="A196" s="1"/>
      <c r="B196" s="4"/>
      <c r="C196" s="1"/>
      <c r="D196" s="1"/>
      <c r="E196" t="e">
        <f>VLOOKUP(Table_query3[[#This Row],[Metrics]],Metrics!A:C,3,0)</f>
        <v>#N/A</v>
      </c>
      <c r="F196" t="e">
        <f>VLOOKUP(Table_query3[[#This Row],[Metrics]],Metrics!A:C,2,0)</f>
        <v>#N/A</v>
      </c>
      <c r="H196" s="1"/>
    </row>
    <row r="197" spans="1:8" hidden="1" x14ac:dyDescent="0.25">
      <c r="A197" s="1"/>
      <c r="B197" s="4"/>
      <c r="C197" s="1"/>
      <c r="D197" s="1"/>
      <c r="E197" t="e">
        <f>VLOOKUP(Table_query3[[#This Row],[Metrics]],Metrics!A:C,3,0)</f>
        <v>#N/A</v>
      </c>
      <c r="F197" t="e">
        <f>VLOOKUP(Table_query3[[#This Row],[Metrics]],Metrics!A:C,2,0)</f>
        <v>#N/A</v>
      </c>
      <c r="H197" s="1"/>
    </row>
    <row r="198" spans="1:8" hidden="1" x14ac:dyDescent="0.25">
      <c r="A198" s="1"/>
      <c r="B198" s="4"/>
      <c r="C198" s="1"/>
      <c r="D198" s="1"/>
      <c r="E198" t="e">
        <f>VLOOKUP(Table_query3[[#This Row],[Metrics]],Metrics!A:C,3,0)</f>
        <v>#N/A</v>
      </c>
      <c r="F198" t="e">
        <f>VLOOKUP(Table_query3[[#This Row],[Metrics]],Metrics!A:C,2,0)</f>
        <v>#N/A</v>
      </c>
      <c r="H198" s="1"/>
    </row>
    <row r="199" spans="1:8" hidden="1" x14ac:dyDescent="0.25">
      <c r="A199" s="1"/>
      <c r="B199" s="4"/>
      <c r="C199" s="1"/>
      <c r="D199" s="1"/>
      <c r="E199" t="e">
        <f>VLOOKUP(Table_query3[[#This Row],[Metrics]],Metrics!A:C,3,0)</f>
        <v>#N/A</v>
      </c>
      <c r="F199" t="e">
        <f>VLOOKUP(Table_query3[[#This Row],[Metrics]],Metrics!A:C,2,0)</f>
        <v>#N/A</v>
      </c>
      <c r="H199" s="1"/>
    </row>
    <row r="200" spans="1:8" hidden="1" x14ac:dyDescent="0.25">
      <c r="A200" s="1"/>
      <c r="B200" s="4"/>
      <c r="C200" s="1"/>
      <c r="D200" s="1"/>
      <c r="E200" t="e">
        <f>VLOOKUP(Table_query3[[#This Row],[Metrics]],Metrics!A:C,3,0)</f>
        <v>#N/A</v>
      </c>
      <c r="F200" t="e">
        <f>VLOOKUP(Table_query3[[#This Row],[Metrics]],Metrics!A:C,2,0)</f>
        <v>#N/A</v>
      </c>
      <c r="H200" s="1"/>
    </row>
    <row r="201" spans="1:8" hidden="1" x14ac:dyDescent="0.25">
      <c r="A201" s="1"/>
      <c r="B201" s="4"/>
      <c r="C201" s="1"/>
      <c r="D201" s="1"/>
      <c r="E201" t="e">
        <f>VLOOKUP(Table_query3[[#This Row],[Metrics]],Metrics!A:C,3,0)</f>
        <v>#N/A</v>
      </c>
      <c r="F201" t="e">
        <f>VLOOKUP(Table_query3[[#This Row],[Metrics]],Metrics!A:C,2,0)</f>
        <v>#N/A</v>
      </c>
      <c r="H201" s="1"/>
    </row>
    <row r="202" spans="1:8" hidden="1" x14ac:dyDescent="0.25">
      <c r="A202" s="1"/>
      <c r="B202" s="4"/>
      <c r="C202" s="1"/>
      <c r="D202" s="1"/>
      <c r="E202" t="e">
        <f>VLOOKUP(Table_query3[[#This Row],[Metrics]],Metrics!A:C,3,0)</f>
        <v>#N/A</v>
      </c>
      <c r="F202" t="e">
        <f>VLOOKUP(Table_query3[[#This Row],[Metrics]],Metrics!A:C,2,0)</f>
        <v>#N/A</v>
      </c>
      <c r="H202" s="1"/>
    </row>
    <row r="203" spans="1:8" hidden="1" x14ac:dyDescent="0.25">
      <c r="A203" s="1"/>
      <c r="B203" s="4"/>
      <c r="C203" s="1"/>
      <c r="D203" s="1"/>
      <c r="E203" t="e">
        <f>VLOOKUP(Table_query3[[#This Row],[Metrics]],Metrics!A:C,3,0)</f>
        <v>#N/A</v>
      </c>
      <c r="F203" t="e">
        <f>VLOOKUP(Table_query3[[#This Row],[Metrics]],Metrics!A:C,2,0)</f>
        <v>#N/A</v>
      </c>
      <c r="H203" s="1"/>
    </row>
    <row r="204" spans="1:8" hidden="1" x14ac:dyDescent="0.25">
      <c r="A204" s="1"/>
      <c r="B204" s="4"/>
      <c r="C204" s="1"/>
      <c r="D204" s="1"/>
      <c r="E204" t="e">
        <f>VLOOKUP(Table_query3[[#This Row],[Metrics]],Metrics!A:C,3,0)</f>
        <v>#N/A</v>
      </c>
      <c r="F204" t="e">
        <f>VLOOKUP(Table_query3[[#This Row],[Metrics]],Metrics!A:C,2,0)</f>
        <v>#N/A</v>
      </c>
      <c r="H204" s="1"/>
    </row>
    <row r="205" spans="1:8" hidden="1" x14ac:dyDescent="0.25">
      <c r="A205" s="1"/>
      <c r="B205" s="4"/>
      <c r="C205" s="1"/>
      <c r="D205" s="1"/>
      <c r="E205" t="e">
        <f>VLOOKUP(Table_query3[[#This Row],[Metrics]],Metrics!A:C,3,0)</f>
        <v>#N/A</v>
      </c>
      <c r="F205" t="e">
        <f>VLOOKUP(Table_query3[[#This Row],[Metrics]],Metrics!A:C,2,0)</f>
        <v>#N/A</v>
      </c>
      <c r="H205" s="1"/>
    </row>
    <row r="206" spans="1:8" hidden="1" x14ac:dyDescent="0.25">
      <c r="A206" s="1"/>
      <c r="B206" s="4"/>
      <c r="C206" s="1"/>
      <c r="D206" s="1"/>
      <c r="E206" t="e">
        <f>VLOOKUP(Table_query3[[#This Row],[Metrics]],Metrics!A:C,3,0)</f>
        <v>#N/A</v>
      </c>
      <c r="F206" t="e">
        <f>VLOOKUP(Table_query3[[#This Row],[Metrics]],Metrics!A:C,2,0)</f>
        <v>#N/A</v>
      </c>
      <c r="H206" s="1"/>
    </row>
    <row r="207" spans="1:8" hidden="1" x14ac:dyDescent="0.25">
      <c r="A207" s="1"/>
      <c r="B207" s="4"/>
      <c r="C207" s="1"/>
      <c r="D207" s="1"/>
      <c r="E207" t="e">
        <f>VLOOKUP(Table_query3[[#This Row],[Metrics]],Metrics!A:C,3,0)</f>
        <v>#N/A</v>
      </c>
      <c r="F207" t="e">
        <f>VLOOKUP(Table_query3[[#This Row],[Metrics]],Metrics!A:C,2,0)</f>
        <v>#N/A</v>
      </c>
      <c r="H207" s="1"/>
    </row>
    <row r="208" spans="1:8" hidden="1" x14ac:dyDescent="0.25">
      <c r="A208" s="1"/>
      <c r="B208" s="4"/>
      <c r="C208" s="1"/>
      <c r="D208" s="1"/>
      <c r="E208" t="e">
        <f>VLOOKUP(Table_query3[[#This Row],[Metrics]],Metrics!A:C,3,0)</f>
        <v>#N/A</v>
      </c>
      <c r="F208" t="e">
        <f>VLOOKUP(Table_query3[[#This Row],[Metrics]],Metrics!A:C,2,0)</f>
        <v>#N/A</v>
      </c>
      <c r="H208" s="1"/>
    </row>
    <row r="209" spans="1:8" hidden="1" x14ac:dyDescent="0.25">
      <c r="A209" s="1"/>
      <c r="B209" s="4"/>
      <c r="C209" s="1"/>
      <c r="D209" s="1"/>
      <c r="E209" t="e">
        <f>VLOOKUP(Table_query3[[#This Row],[Metrics]],Metrics!A:C,3,0)</f>
        <v>#N/A</v>
      </c>
      <c r="F209" t="e">
        <f>VLOOKUP(Table_query3[[#This Row],[Metrics]],Metrics!A:C,2,0)</f>
        <v>#N/A</v>
      </c>
      <c r="H209" s="1"/>
    </row>
    <row r="210" spans="1:8" hidden="1" x14ac:dyDescent="0.25">
      <c r="A210" s="1"/>
      <c r="B210" s="4"/>
      <c r="C210" s="1"/>
      <c r="D210" s="1"/>
      <c r="E210" t="e">
        <f>VLOOKUP(Table_query3[[#This Row],[Metrics]],Metrics!A:C,3,0)</f>
        <v>#N/A</v>
      </c>
      <c r="F210" t="e">
        <f>VLOOKUP(Table_query3[[#This Row],[Metrics]],Metrics!A:C,2,0)</f>
        <v>#N/A</v>
      </c>
      <c r="H210" s="1"/>
    </row>
    <row r="211" spans="1:8" hidden="1" x14ac:dyDescent="0.25">
      <c r="A211" s="1"/>
      <c r="B211" s="4"/>
      <c r="C211" s="1"/>
      <c r="D211" s="1"/>
      <c r="E211" t="e">
        <f>VLOOKUP(Table_query3[[#This Row],[Metrics]],Metrics!A:C,3,0)</f>
        <v>#N/A</v>
      </c>
      <c r="F211" t="e">
        <f>VLOOKUP(Table_query3[[#This Row],[Metrics]],Metrics!A:C,2,0)</f>
        <v>#N/A</v>
      </c>
      <c r="H211" s="1"/>
    </row>
    <row r="212" spans="1:8" hidden="1" x14ac:dyDescent="0.25">
      <c r="A212" s="1"/>
      <c r="B212" s="4"/>
      <c r="C212" s="1"/>
      <c r="D212" s="1"/>
      <c r="E212" t="e">
        <f>VLOOKUP(Table_query3[[#This Row],[Metrics]],Metrics!A:C,3,0)</f>
        <v>#N/A</v>
      </c>
      <c r="F212" t="e">
        <f>VLOOKUP(Table_query3[[#This Row],[Metrics]],Metrics!A:C,2,0)</f>
        <v>#N/A</v>
      </c>
      <c r="H212" s="1"/>
    </row>
    <row r="213" spans="1:8" hidden="1" x14ac:dyDescent="0.25">
      <c r="A213" s="1"/>
      <c r="B213" s="4"/>
      <c r="C213" s="1"/>
      <c r="D213" s="1"/>
      <c r="E213" t="e">
        <f>VLOOKUP(Table_query3[[#This Row],[Metrics]],Metrics!A:C,3,0)</f>
        <v>#N/A</v>
      </c>
      <c r="F213" t="e">
        <f>VLOOKUP(Table_query3[[#This Row],[Metrics]],Metrics!A:C,2,0)</f>
        <v>#N/A</v>
      </c>
      <c r="H213" s="1"/>
    </row>
    <row r="214" spans="1:8" hidden="1" x14ac:dyDescent="0.25">
      <c r="A214" s="1"/>
      <c r="B214" s="4"/>
      <c r="C214" s="1"/>
      <c r="D214" s="1"/>
      <c r="E214" t="e">
        <f>VLOOKUP(Table_query3[[#This Row],[Metrics]],Metrics!A:C,3,0)</f>
        <v>#N/A</v>
      </c>
      <c r="F214" t="e">
        <f>VLOOKUP(Table_query3[[#This Row],[Metrics]],Metrics!A:C,2,0)</f>
        <v>#N/A</v>
      </c>
      <c r="H214" s="1"/>
    </row>
    <row r="215" spans="1:8" hidden="1" x14ac:dyDescent="0.25">
      <c r="A215" s="1"/>
      <c r="B215" s="4"/>
      <c r="C215" s="1"/>
      <c r="D215" s="1"/>
      <c r="E215" t="e">
        <f>VLOOKUP(Table_query3[[#This Row],[Metrics]],Metrics!A:C,3,0)</f>
        <v>#N/A</v>
      </c>
      <c r="F215" t="e">
        <f>VLOOKUP(Table_query3[[#This Row],[Metrics]],Metrics!A:C,2,0)</f>
        <v>#N/A</v>
      </c>
      <c r="H215" s="1"/>
    </row>
    <row r="216" spans="1:8" hidden="1" x14ac:dyDescent="0.25">
      <c r="A216" s="1"/>
      <c r="B216" s="4"/>
      <c r="C216" s="1"/>
      <c r="D216" s="1"/>
      <c r="E216" t="e">
        <f>VLOOKUP(Table_query3[[#This Row],[Metrics]],Metrics!A:C,3,0)</f>
        <v>#N/A</v>
      </c>
      <c r="F216" t="e">
        <f>VLOOKUP(Table_query3[[#This Row],[Metrics]],Metrics!A:C,2,0)</f>
        <v>#N/A</v>
      </c>
      <c r="H216" s="1"/>
    </row>
    <row r="217" spans="1:8" hidden="1" x14ac:dyDescent="0.25">
      <c r="A217" s="1"/>
      <c r="B217" s="4"/>
      <c r="C217" s="1"/>
      <c r="D217" s="1"/>
      <c r="E217" t="e">
        <f>VLOOKUP(Table_query3[[#This Row],[Metrics]],Metrics!A:C,3,0)</f>
        <v>#N/A</v>
      </c>
      <c r="F217" t="e">
        <f>VLOOKUP(Table_query3[[#This Row],[Metrics]],Metrics!A:C,2,0)</f>
        <v>#N/A</v>
      </c>
      <c r="H217" s="1"/>
    </row>
    <row r="218" spans="1:8" hidden="1" x14ac:dyDescent="0.25">
      <c r="A218" s="1"/>
      <c r="B218" s="4"/>
      <c r="C218" s="1"/>
      <c r="D218" s="1"/>
      <c r="E218" t="e">
        <f>VLOOKUP(Table_query3[[#This Row],[Metrics]],Metrics!A:C,3,0)</f>
        <v>#N/A</v>
      </c>
      <c r="F218" t="e">
        <f>VLOOKUP(Table_query3[[#This Row],[Metrics]],Metrics!A:C,2,0)</f>
        <v>#N/A</v>
      </c>
      <c r="H218" s="1"/>
    </row>
    <row r="219" spans="1:8" hidden="1" x14ac:dyDescent="0.25">
      <c r="A219" s="1"/>
      <c r="B219" s="4"/>
      <c r="C219" s="1"/>
      <c r="D219" s="1"/>
      <c r="E219" t="e">
        <f>VLOOKUP(Table_query3[[#This Row],[Metrics]],Metrics!A:C,3,0)</f>
        <v>#N/A</v>
      </c>
      <c r="F219" t="e">
        <f>VLOOKUP(Table_query3[[#This Row],[Metrics]],Metrics!A:C,2,0)</f>
        <v>#N/A</v>
      </c>
      <c r="H219" s="1"/>
    </row>
    <row r="220" spans="1:8" hidden="1" x14ac:dyDescent="0.25">
      <c r="A220" s="1"/>
      <c r="B220" s="4"/>
      <c r="C220" s="1"/>
      <c r="D220" s="1"/>
      <c r="E220" t="e">
        <f>VLOOKUP(Table_query3[[#This Row],[Metrics]],Metrics!A:C,3,0)</f>
        <v>#N/A</v>
      </c>
      <c r="F220" t="e">
        <f>VLOOKUP(Table_query3[[#This Row],[Metrics]],Metrics!A:C,2,0)</f>
        <v>#N/A</v>
      </c>
      <c r="H220" s="1"/>
    </row>
    <row r="221" spans="1:8" hidden="1" x14ac:dyDescent="0.25">
      <c r="A221" s="1"/>
      <c r="B221" s="4"/>
      <c r="C221" s="1"/>
      <c r="D221" s="1"/>
      <c r="E221" t="e">
        <f>VLOOKUP(Table_query3[[#This Row],[Metrics]],Metrics!A:C,3,0)</f>
        <v>#N/A</v>
      </c>
      <c r="F221" t="e">
        <f>VLOOKUP(Table_query3[[#This Row],[Metrics]],Metrics!A:C,2,0)</f>
        <v>#N/A</v>
      </c>
      <c r="H221" s="1"/>
    </row>
    <row r="222" spans="1:8" hidden="1" x14ac:dyDescent="0.25">
      <c r="A222" s="1"/>
      <c r="B222" s="4"/>
      <c r="C222" s="1"/>
      <c r="D222" s="1"/>
      <c r="E222" t="e">
        <f>VLOOKUP(Table_query3[[#This Row],[Metrics]],Metrics!A:C,3,0)</f>
        <v>#N/A</v>
      </c>
      <c r="F222" t="e">
        <f>VLOOKUP(Table_query3[[#This Row],[Metrics]],Metrics!A:C,2,0)</f>
        <v>#N/A</v>
      </c>
      <c r="H222" s="1"/>
    </row>
    <row r="223" spans="1:8" hidden="1" x14ac:dyDescent="0.25">
      <c r="A223" s="1"/>
      <c r="B223" s="4"/>
      <c r="C223" s="1"/>
      <c r="D223" s="1"/>
      <c r="E223" t="e">
        <f>VLOOKUP(Table_query3[[#This Row],[Metrics]],Metrics!A:C,3,0)</f>
        <v>#N/A</v>
      </c>
      <c r="F223" t="e">
        <f>VLOOKUP(Table_query3[[#This Row],[Metrics]],Metrics!A:C,2,0)</f>
        <v>#N/A</v>
      </c>
      <c r="H223" s="1"/>
    </row>
    <row r="224" spans="1:8" hidden="1" x14ac:dyDescent="0.25">
      <c r="A224" s="1"/>
      <c r="B224" s="4"/>
      <c r="C224" s="1"/>
      <c r="D224" s="1"/>
      <c r="E224" t="e">
        <f>VLOOKUP(Table_query3[[#This Row],[Metrics]],Metrics!A:C,3,0)</f>
        <v>#N/A</v>
      </c>
      <c r="F224" t="e">
        <f>VLOOKUP(Table_query3[[#This Row],[Metrics]],Metrics!A:C,2,0)</f>
        <v>#N/A</v>
      </c>
      <c r="H224" s="1"/>
    </row>
    <row r="225" spans="1:8" hidden="1" x14ac:dyDescent="0.25">
      <c r="A225" s="1"/>
      <c r="B225" s="4"/>
      <c r="C225" s="1"/>
      <c r="D225" s="1"/>
      <c r="E225" t="e">
        <f>VLOOKUP(Table_query3[[#This Row],[Metrics]],Metrics!A:C,3,0)</f>
        <v>#N/A</v>
      </c>
      <c r="F225" t="e">
        <f>VLOOKUP(Table_query3[[#This Row],[Metrics]],Metrics!A:C,2,0)</f>
        <v>#N/A</v>
      </c>
      <c r="H225" s="1"/>
    </row>
    <row r="226" spans="1:8" hidden="1" x14ac:dyDescent="0.25">
      <c r="A226" s="1"/>
      <c r="B226" s="4"/>
      <c r="C226" s="1"/>
      <c r="D226" s="1"/>
      <c r="E226" t="e">
        <f>VLOOKUP(Table_query3[[#This Row],[Metrics]],Metrics!A:C,3,0)</f>
        <v>#N/A</v>
      </c>
      <c r="F226" t="e">
        <f>VLOOKUP(Table_query3[[#This Row],[Metrics]],Metrics!A:C,2,0)</f>
        <v>#N/A</v>
      </c>
      <c r="H226" s="1"/>
    </row>
    <row r="227" spans="1:8" hidden="1" x14ac:dyDescent="0.25">
      <c r="A227" s="1"/>
      <c r="B227" s="4"/>
      <c r="C227" s="1"/>
      <c r="D227" s="1"/>
      <c r="E227" t="e">
        <f>VLOOKUP(Table_query3[[#This Row],[Metrics]],Metrics!A:C,3,0)</f>
        <v>#N/A</v>
      </c>
      <c r="F227" t="e">
        <f>VLOOKUP(Table_query3[[#This Row],[Metrics]],Metrics!A:C,2,0)</f>
        <v>#N/A</v>
      </c>
      <c r="H227" s="1"/>
    </row>
    <row r="228" spans="1:8" hidden="1" x14ac:dyDescent="0.25">
      <c r="A228" s="1"/>
      <c r="B228" s="4"/>
      <c r="C228" s="1"/>
      <c r="D228" s="1"/>
      <c r="E228" t="e">
        <f>VLOOKUP(Table_query3[[#This Row],[Metrics]],Metrics!A:C,3,0)</f>
        <v>#N/A</v>
      </c>
      <c r="F228" t="e">
        <f>VLOOKUP(Table_query3[[#This Row],[Metrics]],Metrics!A:C,2,0)</f>
        <v>#N/A</v>
      </c>
      <c r="H228" s="1"/>
    </row>
    <row r="229" spans="1:8" hidden="1" x14ac:dyDescent="0.25">
      <c r="A229" s="1"/>
      <c r="B229" s="4"/>
      <c r="C229" s="1"/>
      <c r="D229" s="1"/>
      <c r="E229" t="e">
        <f>VLOOKUP(Table_query3[[#This Row],[Metrics]],Metrics!A:C,3,0)</f>
        <v>#N/A</v>
      </c>
      <c r="F229" t="e">
        <f>VLOOKUP(Table_query3[[#This Row],[Metrics]],Metrics!A:C,2,0)</f>
        <v>#N/A</v>
      </c>
      <c r="H229" s="1"/>
    </row>
    <row r="230" spans="1:8" hidden="1" x14ac:dyDescent="0.25">
      <c r="A230" s="1"/>
      <c r="B230" s="4"/>
      <c r="C230" s="1"/>
      <c r="D230" s="1"/>
      <c r="E230" t="e">
        <f>VLOOKUP(Table_query3[[#This Row],[Metrics]],Metrics!A:C,3,0)</f>
        <v>#N/A</v>
      </c>
      <c r="F230" t="e">
        <f>VLOOKUP(Table_query3[[#This Row],[Metrics]],Metrics!A:C,2,0)</f>
        <v>#N/A</v>
      </c>
      <c r="H230" s="1"/>
    </row>
    <row r="231" spans="1:8" hidden="1" x14ac:dyDescent="0.25">
      <c r="A231" s="1"/>
      <c r="B231" s="4"/>
      <c r="C231" s="1"/>
      <c r="D231" s="1"/>
      <c r="E231" t="e">
        <f>VLOOKUP(Table_query3[[#This Row],[Metrics]],Metrics!A:C,3,0)</f>
        <v>#N/A</v>
      </c>
      <c r="F231" t="e">
        <f>VLOOKUP(Table_query3[[#This Row],[Metrics]],Metrics!A:C,2,0)</f>
        <v>#N/A</v>
      </c>
      <c r="H231" s="1"/>
    </row>
    <row r="232" spans="1:8" hidden="1" x14ac:dyDescent="0.25">
      <c r="A232" s="1"/>
      <c r="B232" s="4"/>
      <c r="C232" s="1"/>
      <c r="D232" s="1"/>
      <c r="E232" t="e">
        <f>VLOOKUP(Table_query3[[#This Row],[Metrics]],Metrics!A:C,3,0)</f>
        <v>#N/A</v>
      </c>
      <c r="F232" t="e">
        <f>VLOOKUP(Table_query3[[#This Row],[Metrics]],Metrics!A:C,2,0)</f>
        <v>#N/A</v>
      </c>
      <c r="H232" s="1"/>
    </row>
    <row r="233" spans="1:8" hidden="1" x14ac:dyDescent="0.25">
      <c r="A233" s="1"/>
      <c r="B233" s="4"/>
      <c r="C233" s="1"/>
      <c r="D233" s="1"/>
      <c r="E233" t="e">
        <f>VLOOKUP(Table_query3[[#This Row],[Metrics]],Metrics!A:C,3,0)</f>
        <v>#N/A</v>
      </c>
      <c r="F233" t="e">
        <f>VLOOKUP(Table_query3[[#This Row],[Metrics]],Metrics!A:C,2,0)</f>
        <v>#N/A</v>
      </c>
      <c r="H233" s="1"/>
    </row>
    <row r="234" spans="1:8" hidden="1" x14ac:dyDescent="0.25">
      <c r="A234" s="1"/>
      <c r="B234" s="4"/>
      <c r="C234" s="1"/>
      <c r="D234" s="1"/>
      <c r="E234" t="e">
        <f>VLOOKUP(Table_query3[[#This Row],[Metrics]],Metrics!A:C,3,0)</f>
        <v>#N/A</v>
      </c>
      <c r="F234" t="e">
        <f>VLOOKUP(Table_query3[[#This Row],[Metrics]],Metrics!A:C,2,0)</f>
        <v>#N/A</v>
      </c>
      <c r="H234" s="1"/>
    </row>
    <row r="235" spans="1:8" hidden="1" x14ac:dyDescent="0.25">
      <c r="A235" s="1"/>
      <c r="B235" s="4"/>
      <c r="C235" s="1"/>
      <c r="D235" s="1"/>
      <c r="E235" t="e">
        <f>VLOOKUP(Table_query3[[#This Row],[Metrics]],Metrics!A:C,3,0)</f>
        <v>#N/A</v>
      </c>
      <c r="F235" t="e">
        <f>VLOOKUP(Table_query3[[#This Row],[Metrics]],Metrics!A:C,2,0)</f>
        <v>#N/A</v>
      </c>
      <c r="H235" s="1"/>
    </row>
    <row r="236" spans="1:8" hidden="1" x14ac:dyDescent="0.25">
      <c r="A236" s="1"/>
      <c r="B236" s="4"/>
      <c r="C236" s="1"/>
      <c r="D236" s="1"/>
      <c r="E236" t="e">
        <f>VLOOKUP(Table_query3[[#This Row],[Metrics]],Metrics!A:C,3,0)</f>
        <v>#N/A</v>
      </c>
      <c r="F236" t="e">
        <f>VLOOKUP(Table_query3[[#This Row],[Metrics]],Metrics!A:C,2,0)</f>
        <v>#N/A</v>
      </c>
      <c r="H236" s="1"/>
    </row>
    <row r="237" spans="1:8" hidden="1" x14ac:dyDescent="0.25">
      <c r="A237" s="1"/>
      <c r="B237" s="4"/>
      <c r="C237" s="1"/>
      <c r="D237" s="1"/>
      <c r="E237" t="e">
        <f>VLOOKUP(Table_query3[[#This Row],[Metrics]],Metrics!A:C,3,0)</f>
        <v>#N/A</v>
      </c>
      <c r="F237" t="e">
        <f>VLOOKUP(Table_query3[[#This Row],[Metrics]],Metrics!A:C,2,0)</f>
        <v>#N/A</v>
      </c>
      <c r="H237" s="1"/>
    </row>
    <row r="238" spans="1:8" hidden="1" x14ac:dyDescent="0.25">
      <c r="A238" s="1"/>
      <c r="B238" s="4"/>
      <c r="C238" s="1"/>
      <c r="D238" s="1"/>
      <c r="E238" t="e">
        <f>VLOOKUP(Table_query3[[#This Row],[Metrics]],Metrics!A:C,3,0)</f>
        <v>#N/A</v>
      </c>
      <c r="F238" t="e">
        <f>VLOOKUP(Table_query3[[#This Row],[Metrics]],Metrics!A:C,2,0)</f>
        <v>#N/A</v>
      </c>
      <c r="H238" s="1"/>
    </row>
    <row r="239" spans="1:8" hidden="1" x14ac:dyDescent="0.25">
      <c r="A239" s="1"/>
      <c r="B239" s="4"/>
      <c r="C239" s="1"/>
      <c r="D239" s="1"/>
      <c r="E239" t="e">
        <f>VLOOKUP(Table_query3[[#This Row],[Metrics]],Metrics!A:C,3,0)</f>
        <v>#N/A</v>
      </c>
      <c r="F239" t="e">
        <f>VLOOKUP(Table_query3[[#This Row],[Metrics]],Metrics!A:C,2,0)</f>
        <v>#N/A</v>
      </c>
      <c r="H239" s="1"/>
    </row>
    <row r="240" spans="1:8" hidden="1" x14ac:dyDescent="0.25">
      <c r="A240" s="1"/>
      <c r="B240" s="4"/>
      <c r="C240" s="1"/>
      <c r="D240" s="1"/>
      <c r="E240" t="e">
        <f>VLOOKUP(Table_query3[[#This Row],[Metrics]],Metrics!A:C,3,0)</f>
        <v>#N/A</v>
      </c>
      <c r="F240" t="e">
        <f>VLOOKUP(Table_query3[[#This Row],[Metrics]],Metrics!A:C,2,0)</f>
        <v>#N/A</v>
      </c>
      <c r="H240" s="1"/>
    </row>
    <row r="241" spans="1:8" hidden="1" x14ac:dyDescent="0.25">
      <c r="A241" s="1"/>
      <c r="B241" s="4"/>
      <c r="C241" s="1"/>
      <c r="D241" s="1"/>
      <c r="E241" t="e">
        <f>VLOOKUP(Table_query3[[#This Row],[Metrics]],Metrics!A:C,3,0)</f>
        <v>#N/A</v>
      </c>
      <c r="F241" t="e">
        <f>VLOOKUP(Table_query3[[#This Row],[Metrics]],Metrics!A:C,2,0)</f>
        <v>#N/A</v>
      </c>
      <c r="H241" s="1"/>
    </row>
    <row r="242" spans="1:8" hidden="1" x14ac:dyDescent="0.25">
      <c r="A242" s="1"/>
      <c r="B242" s="4"/>
      <c r="C242" s="1"/>
      <c r="D242" s="1"/>
      <c r="E242" t="e">
        <f>VLOOKUP(Table_query3[[#This Row],[Metrics]],Metrics!A:C,3,0)</f>
        <v>#N/A</v>
      </c>
      <c r="F242" t="e">
        <f>VLOOKUP(Table_query3[[#This Row],[Metrics]],Metrics!A:C,2,0)</f>
        <v>#N/A</v>
      </c>
      <c r="H242" s="1"/>
    </row>
    <row r="243" spans="1:8" hidden="1" x14ac:dyDescent="0.25">
      <c r="A243" s="1"/>
      <c r="B243" s="4"/>
      <c r="C243" s="1"/>
      <c r="D243" s="1"/>
      <c r="E243" t="e">
        <f>VLOOKUP(Table_query3[[#This Row],[Metrics]],Metrics!A:C,3,0)</f>
        <v>#N/A</v>
      </c>
      <c r="F243" t="e">
        <f>VLOOKUP(Table_query3[[#This Row],[Metrics]],Metrics!A:C,2,0)</f>
        <v>#N/A</v>
      </c>
      <c r="H243" s="1"/>
    </row>
    <row r="244" spans="1:8" hidden="1" x14ac:dyDescent="0.25">
      <c r="A244" s="1"/>
      <c r="B244" s="4"/>
      <c r="C244" s="1"/>
      <c r="D244" s="1"/>
      <c r="E244" t="e">
        <f>VLOOKUP(Table_query3[[#This Row],[Metrics]],Metrics!A:C,3,0)</f>
        <v>#N/A</v>
      </c>
      <c r="F244" t="e">
        <f>VLOOKUP(Table_query3[[#This Row],[Metrics]],Metrics!A:C,2,0)</f>
        <v>#N/A</v>
      </c>
      <c r="H244" s="1"/>
    </row>
    <row r="245" spans="1:8" hidden="1" x14ac:dyDescent="0.25">
      <c r="A245" s="1"/>
      <c r="B245" s="4"/>
      <c r="C245" s="1"/>
      <c r="D245" s="1"/>
      <c r="E245" t="e">
        <f>VLOOKUP(Table_query3[[#This Row],[Metrics]],Metrics!A:C,3,0)</f>
        <v>#N/A</v>
      </c>
      <c r="F245" t="e">
        <f>VLOOKUP(Table_query3[[#This Row],[Metrics]],Metrics!A:C,2,0)</f>
        <v>#N/A</v>
      </c>
      <c r="H245" s="1"/>
    </row>
    <row r="246" spans="1:8" hidden="1" x14ac:dyDescent="0.25">
      <c r="A246" s="1"/>
      <c r="B246" s="4"/>
      <c r="C246" s="1"/>
      <c r="D246" s="1"/>
      <c r="E246" t="e">
        <f>VLOOKUP(Table_query3[[#This Row],[Metrics]],Metrics!A:C,3,0)</f>
        <v>#N/A</v>
      </c>
      <c r="F246" t="e">
        <f>VLOOKUP(Table_query3[[#This Row],[Metrics]],Metrics!A:C,2,0)</f>
        <v>#N/A</v>
      </c>
      <c r="H246" s="1"/>
    </row>
    <row r="247" spans="1:8" hidden="1" x14ac:dyDescent="0.25">
      <c r="A247" s="1"/>
      <c r="B247" s="4"/>
      <c r="C247" s="1"/>
      <c r="D247" s="1"/>
      <c r="E247" t="e">
        <f>VLOOKUP(Table_query3[[#This Row],[Metrics]],Metrics!A:C,3,0)</f>
        <v>#N/A</v>
      </c>
      <c r="F247" t="e">
        <f>VLOOKUP(Table_query3[[#This Row],[Metrics]],Metrics!A:C,2,0)</f>
        <v>#N/A</v>
      </c>
      <c r="H247" s="1"/>
    </row>
    <row r="248" spans="1:8" hidden="1" x14ac:dyDescent="0.25">
      <c r="A248" s="1"/>
      <c r="B248" s="4"/>
      <c r="C248" s="1"/>
      <c r="D248" s="1"/>
      <c r="E248" t="e">
        <f>VLOOKUP(Table_query3[[#This Row],[Metrics]],Metrics!A:C,3,0)</f>
        <v>#N/A</v>
      </c>
      <c r="F248" t="e">
        <f>VLOOKUP(Table_query3[[#This Row],[Metrics]],Metrics!A:C,2,0)</f>
        <v>#N/A</v>
      </c>
      <c r="H248" s="1"/>
    </row>
    <row r="249" spans="1:8" hidden="1" x14ac:dyDescent="0.25">
      <c r="A249" s="1"/>
      <c r="B249" s="4"/>
      <c r="C249" s="1"/>
      <c r="D249" s="1"/>
      <c r="E249" t="e">
        <f>VLOOKUP(Table_query3[[#This Row],[Metrics]],Metrics!A:C,3,0)</f>
        <v>#N/A</v>
      </c>
      <c r="F249" t="e">
        <f>VLOOKUP(Table_query3[[#This Row],[Metrics]],Metrics!A:C,2,0)</f>
        <v>#N/A</v>
      </c>
      <c r="H249" s="1"/>
    </row>
    <row r="250" spans="1:8" hidden="1" x14ac:dyDescent="0.25">
      <c r="A250" s="1"/>
      <c r="B250" s="4"/>
      <c r="C250" s="1"/>
      <c r="D250" s="1"/>
      <c r="E250" t="e">
        <f>VLOOKUP(Table_query3[[#This Row],[Metrics]],Metrics!A:C,3,0)</f>
        <v>#N/A</v>
      </c>
      <c r="F250" t="e">
        <f>VLOOKUP(Table_query3[[#This Row],[Metrics]],Metrics!A:C,2,0)</f>
        <v>#N/A</v>
      </c>
      <c r="H250" s="1"/>
    </row>
    <row r="251" spans="1:8" hidden="1" x14ac:dyDescent="0.25">
      <c r="A251" s="1"/>
      <c r="B251" s="4"/>
      <c r="C251" s="1"/>
      <c r="D251" s="1"/>
      <c r="E251" t="e">
        <f>VLOOKUP(Table_query3[[#This Row],[Metrics]],Metrics!A:C,3,0)</f>
        <v>#N/A</v>
      </c>
      <c r="F251" t="e">
        <f>VLOOKUP(Table_query3[[#This Row],[Metrics]],Metrics!A:C,2,0)</f>
        <v>#N/A</v>
      </c>
      <c r="H251" s="1"/>
    </row>
    <row r="252" spans="1:8" hidden="1" x14ac:dyDescent="0.25">
      <c r="A252" s="1"/>
      <c r="B252" s="4"/>
      <c r="C252" s="1"/>
      <c r="D252" s="1"/>
      <c r="E252" t="e">
        <f>VLOOKUP(Table_query3[[#This Row],[Metrics]],Metrics!A:C,3,0)</f>
        <v>#N/A</v>
      </c>
      <c r="F252" t="e">
        <f>VLOOKUP(Table_query3[[#This Row],[Metrics]],Metrics!A:C,2,0)</f>
        <v>#N/A</v>
      </c>
      <c r="H252" s="1"/>
    </row>
    <row r="253" spans="1:8" hidden="1" x14ac:dyDescent="0.25">
      <c r="A253" s="1"/>
      <c r="B253" s="4"/>
      <c r="C253" s="1"/>
      <c r="D253" s="1"/>
      <c r="E253" t="e">
        <f>VLOOKUP(Table_query3[[#This Row],[Metrics]],Metrics!A:C,3,0)</f>
        <v>#N/A</v>
      </c>
      <c r="F253" t="e">
        <f>VLOOKUP(Table_query3[[#This Row],[Metrics]],Metrics!A:C,2,0)</f>
        <v>#N/A</v>
      </c>
      <c r="H253" s="1"/>
    </row>
    <row r="254" spans="1:8" hidden="1" x14ac:dyDescent="0.25">
      <c r="A254" s="1"/>
      <c r="B254" s="4"/>
      <c r="C254" s="1"/>
      <c r="D254" s="1"/>
      <c r="E254" t="e">
        <f>VLOOKUP(Table_query3[[#This Row],[Metrics]],Metrics!A:C,3,0)</f>
        <v>#N/A</v>
      </c>
      <c r="F254" t="e">
        <f>VLOOKUP(Table_query3[[#This Row],[Metrics]],Metrics!A:C,2,0)</f>
        <v>#N/A</v>
      </c>
      <c r="H254" s="1"/>
    </row>
    <row r="255" spans="1:8" hidden="1" x14ac:dyDescent="0.25">
      <c r="A255" s="1"/>
      <c r="B255" s="4"/>
      <c r="C255" s="1"/>
      <c r="D255" s="1"/>
      <c r="E255" t="e">
        <f>VLOOKUP(Table_query3[[#This Row],[Metrics]],Metrics!A:C,3,0)</f>
        <v>#N/A</v>
      </c>
      <c r="F255" t="e">
        <f>VLOOKUP(Table_query3[[#This Row],[Metrics]],Metrics!A:C,2,0)</f>
        <v>#N/A</v>
      </c>
      <c r="H255" s="1"/>
    </row>
    <row r="256" spans="1:8" hidden="1" x14ac:dyDescent="0.25">
      <c r="A256" s="1"/>
      <c r="B256" s="4"/>
      <c r="C256" s="1"/>
      <c r="D256" s="1"/>
      <c r="E256" t="e">
        <f>VLOOKUP(Table_query3[[#This Row],[Metrics]],Metrics!A:C,3,0)</f>
        <v>#N/A</v>
      </c>
      <c r="F256" t="e">
        <f>VLOOKUP(Table_query3[[#This Row],[Metrics]],Metrics!A:C,2,0)</f>
        <v>#N/A</v>
      </c>
      <c r="H256" s="1"/>
    </row>
    <row r="257" spans="1:8" hidden="1" x14ac:dyDescent="0.25">
      <c r="A257" s="1"/>
      <c r="B257" s="4"/>
      <c r="C257" s="1"/>
      <c r="D257" s="1"/>
      <c r="E257" t="e">
        <f>VLOOKUP(Table_query3[[#This Row],[Metrics]],Metrics!A:C,3,0)</f>
        <v>#N/A</v>
      </c>
      <c r="F257" t="e">
        <f>VLOOKUP(Table_query3[[#This Row],[Metrics]],Metrics!A:C,2,0)</f>
        <v>#N/A</v>
      </c>
      <c r="H257" s="1"/>
    </row>
    <row r="258" spans="1:8" hidden="1" x14ac:dyDescent="0.25">
      <c r="A258" s="1"/>
      <c r="B258" s="4"/>
      <c r="C258" s="1"/>
      <c r="D258" s="1"/>
      <c r="E258" t="e">
        <f>VLOOKUP(Table_query3[[#This Row],[Metrics]],Metrics!A:C,3,0)</f>
        <v>#N/A</v>
      </c>
      <c r="F258" t="e">
        <f>VLOOKUP(Table_query3[[#This Row],[Metrics]],Metrics!A:C,2,0)</f>
        <v>#N/A</v>
      </c>
      <c r="H258" s="1"/>
    </row>
    <row r="259" spans="1:8" hidden="1" x14ac:dyDescent="0.25">
      <c r="A259" s="1"/>
      <c r="B259" s="4"/>
      <c r="C259" s="1"/>
      <c r="D259" s="1"/>
      <c r="E259" t="e">
        <f>VLOOKUP(Table_query3[[#This Row],[Metrics]],Metrics!A:C,3,0)</f>
        <v>#N/A</v>
      </c>
      <c r="F259" t="e">
        <f>VLOOKUP(Table_query3[[#This Row],[Metrics]],Metrics!A:C,2,0)</f>
        <v>#N/A</v>
      </c>
      <c r="H259" s="1"/>
    </row>
    <row r="260" spans="1:8" hidden="1" x14ac:dyDescent="0.25">
      <c r="A260" s="1"/>
      <c r="B260" s="4"/>
      <c r="C260" s="1"/>
      <c r="D260" s="1"/>
      <c r="E260" t="e">
        <f>VLOOKUP(Table_query3[[#This Row],[Metrics]],Metrics!A:C,3,0)</f>
        <v>#N/A</v>
      </c>
      <c r="F260" t="e">
        <f>VLOOKUP(Table_query3[[#This Row],[Metrics]],Metrics!A:C,2,0)</f>
        <v>#N/A</v>
      </c>
      <c r="H260" s="1"/>
    </row>
    <row r="261" spans="1:8" hidden="1" x14ac:dyDescent="0.25">
      <c r="A261" s="1"/>
      <c r="B261" s="4"/>
      <c r="C261" s="1"/>
      <c r="D261" s="1"/>
      <c r="E261" t="e">
        <f>VLOOKUP(Table_query3[[#This Row],[Metrics]],Metrics!A:C,3,0)</f>
        <v>#N/A</v>
      </c>
      <c r="F261" t="e">
        <f>VLOOKUP(Table_query3[[#This Row],[Metrics]],Metrics!A:C,2,0)</f>
        <v>#N/A</v>
      </c>
      <c r="H261" s="1"/>
    </row>
    <row r="262" spans="1:8" hidden="1" x14ac:dyDescent="0.25">
      <c r="A262" s="1"/>
      <c r="B262" s="4"/>
      <c r="C262" s="1"/>
      <c r="D262" s="1"/>
      <c r="E262" t="e">
        <f>VLOOKUP(Table_query3[[#This Row],[Metrics]],Metrics!A:C,3,0)</f>
        <v>#N/A</v>
      </c>
      <c r="F262" t="e">
        <f>VLOOKUP(Table_query3[[#This Row],[Metrics]],Metrics!A:C,2,0)</f>
        <v>#N/A</v>
      </c>
      <c r="H262" s="1"/>
    </row>
    <row r="263" spans="1:8" hidden="1" x14ac:dyDescent="0.25">
      <c r="A263" s="1"/>
      <c r="B263" s="4"/>
      <c r="C263" s="1"/>
      <c r="D263" s="1"/>
      <c r="E263" t="e">
        <f>VLOOKUP(Table_query3[[#This Row],[Metrics]],Metrics!A:C,3,0)</f>
        <v>#N/A</v>
      </c>
      <c r="F263" t="e">
        <f>VLOOKUP(Table_query3[[#This Row],[Metrics]],Metrics!A:C,2,0)</f>
        <v>#N/A</v>
      </c>
      <c r="H263" s="1"/>
    </row>
    <row r="264" spans="1:8" hidden="1" x14ac:dyDescent="0.25">
      <c r="A264" s="1"/>
      <c r="B264" s="4"/>
      <c r="C264" s="1"/>
      <c r="D264" s="1"/>
      <c r="E264" t="e">
        <f>VLOOKUP(Table_query3[[#This Row],[Metrics]],Metrics!A:C,3,0)</f>
        <v>#N/A</v>
      </c>
      <c r="F264" t="e">
        <f>VLOOKUP(Table_query3[[#This Row],[Metrics]],Metrics!A:C,2,0)</f>
        <v>#N/A</v>
      </c>
      <c r="H264" s="1"/>
    </row>
    <row r="265" spans="1:8" hidden="1" x14ac:dyDescent="0.25">
      <c r="A265" s="1"/>
      <c r="B265" s="4"/>
      <c r="C265" s="1"/>
      <c r="D265" s="1"/>
      <c r="E265" t="e">
        <f>VLOOKUP(Table_query3[[#This Row],[Metrics]],Metrics!A:C,3,0)</f>
        <v>#N/A</v>
      </c>
      <c r="F265" t="e">
        <f>VLOOKUP(Table_query3[[#This Row],[Metrics]],Metrics!A:C,2,0)</f>
        <v>#N/A</v>
      </c>
      <c r="H265" s="1"/>
    </row>
    <row r="266" spans="1:8" hidden="1" x14ac:dyDescent="0.25">
      <c r="A266" s="1"/>
      <c r="B266" s="4"/>
      <c r="C266" s="1"/>
      <c r="D266" s="1"/>
      <c r="E266" t="e">
        <f>VLOOKUP(Table_query3[[#This Row],[Metrics]],Metrics!A:C,3,0)</f>
        <v>#N/A</v>
      </c>
      <c r="F266" t="e">
        <f>VLOOKUP(Table_query3[[#This Row],[Metrics]],Metrics!A:C,2,0)</f>
        <v>#N/A</v>
      </c>
      <c r="H266" s="1"/>
    </row>
    <row r="267" spans="1:8" hidden="1" x14ac:dyDescent="0.25">
      <c r="A267" s="1"/>
      <c r="B267" s="4"/>
      <c r="C267" s="1"/>
      <c r="D267" s="1"/>
      <c r="E267" t="e">
        <f>VLOOKUP(Table_query3[[#This Row],[Metrics]],Metrics!A:C,3,0)</f>
        <v>#N/A</v>
      </c>
      <c r="F267" t="e">
        <f>VLOOKUP(Table_query3[[#This Row],[Metrics]],Metrics!A:C,2,0)</f>
        <v>#N/A</v>
      </c>
      <c r="H267" s="1"/>
    </row>
    <row r="268" spans="1:8" hidden="1" x14ac:dyDescent="0.25">
      <c r="A268" s="1"/>
      <c r="B268" s="4"/>
      <c r="C268" s="1"/>
      <c r="D268" s="1"/>
      <c r="E268" t="e">
        <f>VLOOKUP(Table_query3[[#This Row],[Metrics]],Metrics!A:C,3,0)</f>
        <v>#N/A</v>
      </c>
      <c r="F268" t="e">
        <f>VLOOKUP(Table_query3[[#This Row],[Metrics]],Metrics!A:C,2,0)</f>
        <v>#N/A</v>
      </c>
      <c r="H268" s="1"/>
    </row>
    <row r="269" spans="1:8" hidden="1" x14ac:dyDescent="0.25">
      <c r="A269" s="1"/>
      <c r="B269" s="4"/>
      <c r="C269" s="1"/>
      <c r="D269" s="1"/>
      <c r="E269" t="e">
        <f>VLOOKUP(Table_query3[[#This Row],[Metrics]],Metrics!A:C,3,0)</f>
        <v>#N/A</v>
      </c>
      <c r="F269" t="e">
        <f>VLOOKUP(Table_query3[[#This Row],[Metrics]],Metrics!A:C,2,0)</f>
        <v>#N/A</v>
      </c>
      <c r="H269" s="1"/>
    </row>
    <row r="270" spans="1:8" hidden="1" x14ac:dyDescent="0.25">
      <c r="A270" s="1"/>
      <c r="B270" s="4"/>
      <c r="C270" s="1"/>
      <c r="D270" s="1"/>
      <c r="E270" t="e">
        <f>VLOOKUP(Table_query3[[#This Row],[Metrics]],Metrics!A:C,3,0)</f>
        <v>#N/A</v>
      </c>
      <c r="F270" t="e">
        <f>VLOOKUP(Table_query3[[#This Row],[Metrics]],Metrics!A:C,2,0)</f>
        <v>#N/A</v>
      </c>
      <c r="H270" s="1"/>
    </row>
    <row r="271" spans="1:8" hidden="1" x14ac:dyDescent="0.25">
      <c r="A271" s="1"/>
      <c r="B271" s="4"/>
      <c r="C271" s="1"/>
      <c r="D271" s="1"/>
      <c r="E271" t="e">
        <f>VLOOKUP(Table_query3[[#This Row],[Metrics]],Metrics!A:C,3,0)</f>
        <v>#N/A</v>
      </c>
      <c r="F271" t="e">
        <f>VLOOKUP(Table_query3[[#This Row],[Metrics]],Metrics!A:C,2,0)</f>
        <v>#N/A</v>
      </c>
      <c r="H271" s="1"/>
    </row>
    <row r="272" spans="1:8" hidden="1" x14ac:dyDescent="0.25">
      <c r="A272" s="1"/>
      <c r="B272" s="4"/>
      <c r="C272" s="1"/>
      <c r="D272" s="1"/>
      <c r="E272" t="e">
        <f>VLOOKUP(Table_query3[[#This Row],[Metrics]],Metrics!A:C,3,0)</f>
        <v>#N/A</v>
      </c>
      <c r="F272" t="e">
        <f>VLOOKUP(Table_query3[[#This Row],[Metrics]],Metrics!A:C,2,0)</f>
        <v>#N/A</v>
      </c>
      <c r="H272" s="1"/>
    </row>
    <row r="273" spans="1:8" hidden="1" x14ac:dyDescent="0.25">
      <c r="A273" s="1"/>
      <c r="B273" s="4"/>
      <c r="C273" s="1"/>
      <c r="D273" s="1"/>
      <c r="E273" t="e">
        <f>VLOOKUP(Table_query3[[#This Row],[Metrics]],Metrics!A:C,3,0)</f>
        <v>#N/A</v>
      </c>
      <c r="F273" t="e">
        <f>VLOOKUP(Table_query3[[#This Row],[Metrics]],Metrics!A:C,2,0)</f>
        <v>#N/A</v>
      </c>
      <c r="H273" s="1"/>
    </row>
    <row r="274" spans="1:8" hidden="1" x14ac:dyDescent="0.25">
      <c r="A274" s="1"/>
      <c r="B274" s="4"/>
      <c r="C274" s="1"/>
      <c r="D274" s="1"/>
      <c r="E274" t="e">
        <f>VLOOKUP(Table_query3[[#This Row],[Metrics]],Metrics!A:C,3,0)</f>
        <v>#N/A</v>
      </c>
      <c r="F274" t="e">
        <f>VLOOKUP(Table_query3[[#This Row],[Metrics]],Metrics!A:C,2,0)</f>
        <v>#N/A</v>
      </c>
      <c r="H274" s="1"/>
    </row>
    <row r="275" spans="1:8" hidden="1" x14ac:dyDescent="0.25">
      <c r="A275" s="1"/>
      <c r="B275" s="4"/>
      <c r="C275" s="1"/>
      <c r="D275" s="1"/>
      <c r="E275" t="e">
        <f>VLOOKUP(Table_query3[[#This Row],[Metrics]],Metrics!A:C,3,0)</f>
        <v>#N/A</v>
      </c>
      <c r="F275" t="e">
        <f>VLOOKUP(Table_query3[[#This Row],[Metrics]],Metrics!A:C,2,0)</f>
        <v>#N/A</v>
      </c>
      <c r="H275" s="1"/>
    </row>
    <row r="276" spans="1:8" hidden="1" x14ac:dyDescent="0.25">
      <c r="A276" s="1"/>
      <c r="B276" s="4"/>
      <c r="C276" s="1"/>
      <c r="D276" s="1"/>
      <c r="E276" t="e">
        <f>VLOOKUP(Table_query3[[#This Row],[Metrics]],Metrics!A:C,3,0)</f>
        <v>#N/A</v>
      </c>
      <c r="F276" t="e">
        <f>VLOOKUP(Table_query3[[#This Row],[Metrics]],Metrics!A:C,2,0)</f>
        <v>#N/A</v>
      </c>
      <c r="H276" s="1"/>
    </row>
    <row r="277" spans="1:8" hidden="1" x14ac:dyDescent="0.25">
      <c r="A277" s="1"/>
      <c r="B277" s="4"/>
      <c r="C277" s="1"/>
      <c r="D277" s="1"/>
      <c r="E277" t="e">
        <f>VLOOKUP(Table_query3[[#This Row],[Metrics]],Metrics!A:C,3,0)</f>
        <v>#N/A</v>
      </c>
      <c r="F277" t="e">
        <f>VLOOKUP(Table_query3[[#This Row],[Metrics]],Metrics!A:C,2,0)</f>
        <v>#N/A</v>
      </c>
      <c r="H277" s="1"/>
    </row>
    <row r="278" spans="1:8" hidden="1" x14ac:dyDescent="0.25">
      <c r="A278" s="1"/>
      <c r="B278" s="4"/>
      <c r="C278" s="1"/>
      <c r="D278" s="1"/>
      <c r="E278" t="e">
        <f>VLOOKUP(Table_query3[[#This Row],[Metrics]],Metrics!A:C,3,0)</f>
        <v>#N/A</v>
      </c>
      <c r="F278" t="e">
        <f>VLOOKUP(Table_query3[[#This Row],[Metrics]],Metrics!A:C,2,0)</f>
        <v>#N/A</v>
      </c>
      <c r="H278" s="1"/>
    </row>
    <row r="279" spans="1:8" hidden="1" x14ac:dyDescent="0.25">
      <c r="A279" s="1"/>
      <c r="B279" s="4"/>
      <c r="C279" s="1"/>
      <c r="D279" s="1"/>
      <c r="E279" t="e">
        <f>VLOOKUP(Table_query3[[#This Row],[Metrics]],Metrics!A:C,3,0)</f>
        <v>#N/A</v>
      </c>
      <c r="F279" t="e">
        <f>VLOOKUP(Table_query3[[#This Row],[Metrics]],Metrics!A:C,2,0)</f>
        <v>#N/A</v>
      </c>
      <c r="H279" s="1"/>
    </row>
    <row r="280" spans="1:8" hidden="1" x14ac:dyDescent="0.25">
      <c r="A280" s="1"/>
      <c r="B280" s="4"/>
      <c r="C280" s="1"/>
      <c r="D280" s="1"/>
      <c r="E280" t="e">
        <f>VLOOKUP(Table_query3[[#This Row],[Metrics]],Metrics!A:C,3,0)</f>
        <v>#N/A</v>
      </c>
      <c r="F280" t="e">
        <f>VLOOKUP(Table_query3[[#This Row],[Metrics]],Metrics!A:C,2,0)</f>
        <v>#N/A</v>
      </c>
      <c r="H280" s="1"/>
    </row>
    <row r="281" spans="1:8" hidden="1" x14ac:dyDescent="0.25">
      <c r="A281" s="1"/>
      <c r="B281" s="4"/>
      <c r="C281" s="1"/>
      <c r="D281" s="1"/>
      <c r="E281" t="e">
        <f>VLOOKUP(Table_query3[[#This Row],[Metrics]],Metrics!A:C,3,0)</f>
        <v>#N/A</v>
      </c>
      <c r="F281" t="e">
        <f>VLOOKUP(Table_query3[[#This Row],[Metrics]],Metrics!A:C,2,0)</f>
        <v>#N/A</v>
      </c>
      <c r="H281" s="1"/>
    </row>
    <row r="282" spans="1:8" hidden="1" x14ac:dyDescent="0.25">
      <c r="A282" s="1"/>
      <c r="B282" s="4"/>
      <c r="C282" s="1"/>
      <c r="D282" s="1"/>
      <c r="E282" t="e">
        <f>VLOOKUP(Table_query3[[#This Row],[Metrics]],Metrics!A:C,3,0)</f>
        <v>#N/A</v>
      </c>
      <c r="F282" t="e">
        <f>VLOOKUP(Table_query3[[#This Row],[Metrics]],Metrics!A:C,2,0)</f>
        <v>#N/A</v>
      </c>
      <c r="H282" s="1"/>
    </row>
    <row r="283" spans="1:8" hidden="1" x14ac:dyDescent="0.25">
      <c r="A283" s="1"/>
      <c r="B283" s="4"/>
      <c r="C283" s="1"/>
      <c r="D283" s="1"/>
      <c r="E283" t="e">
        <f>VLOOKUP(Table_query3[[#This Row],[Metrics]],Metrics!A:C,3,0)</f>
        <v>#N/A</v>
      </c>
      <c r="F283" t="e">
        <f>VLOOKUP(Table_query3[[#This Row],[Metrics]],Metrics!A:C,2,0)</f>
        <v>#N/A</v>
      </c>
      <c r="H283" s="1"/>
    </row>
    <row r="284" spans="1:8" hidden="1" x14ac:dyDescent="0.25">
      <c r="A284" s="1"/>
      <c r="B284" s="4"/>
      <c r="C284" s="1"/>
      <c r="D284" s="1"/>
      <c r="E284" t="e">
        <f>VLOOKUP(Table_query3[[#This Row],[Metrics]],Metrics!A:C,3,0)</f>
        <v>#N/A</v>
      </c>
      <c r="F284" t="e">
        <f>VLOOKUP(Table_query3[[#This Row],[Metrics]],Metrics!A:C,2,0)</f>
        <v>#N/A</v>
      </c>
      <c r="H284" s="1"/>
    </row>
    <row r="285" spans="1:8" hidden="1" x14ac:dyDescent="0.25">
      <c r="A285" s="1"/>
      <c r="B285" s="4"/>
      <c r="C285" s="1"/>
      <c r="D285" s="1"/>
      <c r="E285" t="e">
        <f>VLOOKUP(Table_query3[[#This Row],[Metrics]],Metrics!A:C,3,0)</f>
        <v>#N/A</v>
      </c>
      <c r="F285" t="e">
        <f>VLOOKUP(Table_query3[[#This Row],[Metrics]],Metrics!A:C,2,0)</f>
        <v>#N/A</v>
      </c>
      <c r="H285" s="1"/>
    </row>
    <row r="286" spans="1:8" hidden="1" x14ac:dyDescent="0.25">
      <c r="A286" s="1"/>
      <c r="B286" s="4"/>
      <c r="C286" s="1"/>
      <c r="D286" s="1"/>
      <c r="E286" t="e">
        <f>VLOOKUP(Table_query3[[#This Row],[Metrics]],Metrics!A:C,3,0)</f>
        <v>#N/A</v>
      </c>
      <c r="F286" t="e">
        <f>VLOOKUP(Table_query3[[#This Row],[Metrics]],Metrics!A:C,2,0)</f>
        <v>#N/A</v>
      </c>
      <c r="H286" s="1"/>
    </row>
    <row r="287" spans="1:8" hidden="1" x14ac:dyDescent="0.25">
      <c r="A287" s="1"/>
      <c r="B287" s="4"/>
      <c r="C287" s="1"/>
      <c r="D287" s="1"/>
      <c r="E287" t="e">
        <f>VLOOKUP(Table_query3[[#This Row],[Metrics]],Metrics!A:C,3,0)</f>
        <v>#N/A</v>
      </c>
      <c r="F287" t="e">
        <f>VLOOKUP(Table_query3[[#This Row],[Metrics]],Metrics!A:C,2,0)</f>
        <v>#N/A</v>
      </c>
      <c r="H287" s="1"/>
    </row>
    <row r="288" spans="1:8" hidden="1" x14ac:dyDescent="0.25">
      <c r="A288" s="1"/>
      <c r="B288" s="4"/>
      <c r="C288" s="1"/>
      <c r="D288" s="1"/>
      <c r="E288" t="e">
        <f>VLOOKUP(Table_query3[[#This Row],[Metrics]],Metrics!A:C,3,0)</f>
        <v>#N/A</v>
      </c>
      <c r="F288" t="e">
        <f>VLOOKUP(Table_query3[[#This Row],[Metrics]],Metrics!A:C,2,0)</f>
        <v>#N/A</v>
      </c>
      <c r="H288" s="1"/>
    </row>
    <row r="289" spans="1:8" hidden="1" x14ac:dyDescent="0.25">
      <c r="A289" s="1"/>
      <c r="B289" s="4"/>
      <c r="C289" s="1"/>
      <c r="D289" s="1"/>
      <c r="E289" t="e">
        <f>VLOOKUP(Table_query3[[#This Row],[Metrics]],Metrics!A:C,3,0)</f>
        <v>#N/A</v>
      </c>
      <c r="F289" t="e">
        <f>VLOOKUP(Table_query3[[#This Row],[Metrics]],Metrics!A:C,2,0)</f>
        <v>#N/A</v>
      </c>
      <c r="H289" s="1"/>
    </row>
    <row r="290" spans="1:8" hidden="1" x14ac:dyDescent="0.25">
      <c r="A290" s="1"/>
      <c r="B290" s="4"/>
      <c r="C290" s="1"/>
      <c r="D290" s="1"/>
      <c r="E290" t="e">
        <f>VLOOKUP(Table_query3[[#This Row],[Metrics]],Metrics!A:C,3,0)</f>
        <v>#N/A</v>
      </c>
      <c r="F290" t="e">
        <f>VLOOKUP(Table_query3[[#This Row],[Metrics]],Metrics!A:C,2,0)</f>
        <v>#N/A</v>
      </c>
      <c r="H290" s="1"/>
    </row>
    <row r="291" spans="1:8" hidden="1" x14ac:dyDescent="0.25">
      <c r="A291" s="1"/>
      <c r="B291" s="4"/>
      <c r="C291" s="1"/>
      <c r="D291" s="1"/>
      <c r="E291" t="e">
        <f>VLOOKUP(Table_query3[[#This Row],[Metrics]],Metrics!A:C,3,0)</f>
        <v>#N/A</v>
      </c>
      <c r="F291" t="e">
        <f>VLOOKUP(Table_query3[[#This Row],[Metrics]],Metrics!A:C,2,0)</f>
        <v>#N/A</v>
      </c>
      <c r="H291" s="1"/>
    </row>
    <row r="292" spans="1:8" hidden="1" x14ac:dyDescent="0.25">
      <c r="A292" s="1"/>
      <c r="B292" s="4"/>
      <c r="C292" s="1"/>
      <c r="D292" s="1"/>
      <c r="E292" t="e">
        <f>VLOOKUP(Table_query3[[#This Row],[Metrics]],Metrics!A:C,3,0)</f>
        <v>#N/A</v>
      </c>
      <c r="F292" t="e">
        <f>VLOOKUP(Table_query3[[#This Row],[Metrics]],Metrics!A:C,2,0)</f>
        <v>#N/A</v>
      </c>
      <c r="H292" s="1"/>
    </row>
    <row r="293" spans="1:8" hidden="1" x14ac:dyDescent="0.25">
      <c r="A293" s="1"/>
      <c r="B293" s="4"/>
      <c r="C293" s="1"/>
      <c r="D293" s="1"/>
      <c r="E293" t="e">
        <f>VLOOKUP(Table_query3[[#This Row],[Metrics]],Metrics!A:C,3,0)</f>
        <v>#N/A</v>
      </c>
      <c r="F293" t="e">
        <f>VLOOKUP(Table_query3[[#This Row],[Metrics]],Metrics!A:C,2,0)</f>
        <v>#N/A</v>
      </c>
      <c r="H293" s="1"/>
    </row>
    <row r="294" spans="1:8" hidden="1" x14ac:dyDescent="0.25">
      <c r="A294" s="1"/>
      <c r="B294" s="4"/>
      <c r="C294" s="1"/>
      <c r="D294" s="1"/>
      <c r="E294" t="e">
        <f>VLOOKUP(Table_query3[[#This Row],[Metrics]],Metrics!A:C,3,0)</f>
        <v>#N/A</v>
      </c>
      <c r="F294" t="e">
        <f>VLOOKUP(Table_query3[[#This Row],[Metrics]],Metrics!A:C,2,0)</f>
        <v>#N/A</v>
      </c>
      <c r="H294" s="1"/>
    </row>
    <row r="295" spans="1:8" hidden="1" x14ac:dyDescent="0.25">
      <c r="A295" s="1"/>
      <c r="B295" s="4"/>
      <c r="C295" s="1"/>
      <c r="D295" s="1"/>
      <c r="E295" t="e">
        <f>VLOOKUP(Table_query3[[#This Row],[Metrics]],Metrics!A:C,3,0)</f>
        <v>#N/A</v>
      </c>
      <c r="F295" t="e">
        <f>VLOOKUP(Table_query3[[#This Row],[Metrics]],Metrics!A:C,2,0)</f>
        <v>#N/A</v>
      </c>
      <c r="H295" s="1"/>
    </row>
    <row r="296" spans="1:8" hidden="1" x14ac:dyDescent="0.25">
      <c r="A296" s="1"/>
      <c r="B296" s="4"/>
      <c r="C296" s="1"/>
      <c r="D296" s="1"/>
      <c r="E296" t="e">
        <f>VLOOKUP(Table_query3[[#This Row],[Metrics]],Metrics!A:C,3,0)</f>
        <v>#N/A</v>
      </c>
      <c r="F296" t="e">
        <f>VLOOKUP(Table_query3[[#This Row],[Metrics]],Metrics!A:C,2,0)</f>
        <v>#N/A</v>
      </c>
      <c r="H296" s="1"/>
    </row>
    <row r="297" spans="1:8" hidden="1" x14ac:dyDescent="0.25">
      <c r="A297" s="1"/>
      <c r="B297" s="4"/>
      <c r="C297" s="1"/>
      <c r="D297" s="1"/>
      <c r="E297" t="e">
        <f>VLOOKUP(Table_query3[[#This Row],[Metrics]],Metrics!A:C,3,0)</f>
        <v>#N/A</v>
      </c>
      <c r="F297" t="e">
        <f>VLOOKUP(Table_query3[[#This Row],[Metrics]],Metrics!A:C,2,0)</f>
        <v>#N/A</v>
      </c>
      <c r="H297" s="1"/>
    </row>
    <row r="298" spans="1:8" hidden="1" x14ac:dyDescent="0.25">
      <c r="A298" s="1"/>
      <c r="B298" s="4"/>
      <c r="C298" s="1"/>
      <c r="D298" s="1"/>
      <c r="E298" t="e">
        <f>VLOOKUP(Table_query3[[#This Row],[Metrics]],Metrics!A:C,3,0)</f>
        <v>#N/A</v>
      </c>
      <c r="F298" t="e">
        <f>VLOOKUP(Table_query3[[#This Row],[Metrics]],Metrics!A:C,2,0)</f>
        <v>#N/A</v>
      </c>
      <c r="H298" s="1"/>
    </row>
    <row r="299" spans="1:8" hidden="1" x14ac:dyDescent="0.25">
      <c r="A299" s="1"/>
      <c r="B299" s="4"/>
      <c r="C299" s="1"/>
      <c r="D299" s="1"/>
      <c r="E299" t="e">
        <f>VLOOKUP(Table_query3[[#This Row],[Metrics]],Metrics!A:C,3,0)</f>
        <v>#N/A</v>
      </c>
      <c r="F299" t="e">
        <f>VLOOKUP(Table_query3[[#This Row],[Metrics]],Metrics!A:C,2,0)</f>
        <v>#N/A</v>
      </c>
      <c r="H299" s="1"/>
    </row>
    <row r="300" spans="1:8" hidden="1" x14ac:dyDescent="0.25">
      <c r="A300" s="1"/>
      <c r="B300" s="4"/>
      <c r="C300" s="1"/>
      <c r="D300" s="1"/>
      <c r="E300" t="e">
        <f>VLOOKUP(Table_query3[[#This Row],[Metrics]],Metrics!A:C,3,0)</f>
        <v>#N/A</v>
      </c>
      <c r="F300" t="e">
        <f>VLOOKUP(Table_query3[[#This Row],[Metrics]],Metrics!A:C,2,0)</f>
        <v>#N/A</v>
      </c>
      <c r="H300" s="1"/>
    </row>
    <row r="301" spans="1:8" hidden="1" x14ac:dyDescent="0.25">
      <c r="A301" s="1"/>
      <c r="B301" s="4"/>
      <c r="C301" s="1"/>
      <c r="D301" s="1"/>
      <c r="E301" t="e">
        <f>VLOOKUP(Table_query3[[#This Row],[Metrics]],Metrics!A:C,3,0)</f>
        <v>#N/A</v>
      </c>
      <c r="F301" t="e">
        <f>VLOOKUP(Table_query3[[#This Row],[Metrics]],Metrics!A:C,2,0)</f>
        <v>#N/A</v>
      </c>
      <c r="H301" s="1"/>
    </row>
    <row r="302" spans="1:8" hidden="1" x14ac:dyDescent="0.25">
      <c r="A302" s="1"/>
      <c r="B302" s="4"/>
      <c r="C302" s="1"/>
      <c r="D302" s="1"/>
      <c r="E302" t="e">
        <f>VLOOKUP(Table_query3[[#This Row],[Metrics]],Metrics!A:C,3,0)</f>
        <v>#N/A</v>
      </c>
      <c r="F302" t="e">
        <f>VLOOKUP(Table_query3[[#This Row],[Metrics]],Metrics!A:C,2,0)</f>
        <v>#N/A</v>
      </c>
      <c r="H302" s="1"/>
    </row>
    <row r="303" spans="1:8" hidden="1" x14ac:dyDescent="0.25">
      <c r="A303" s="1"/>
      <c r="B303" s="4"/>
      <c r="C303" s="1"/>
      <c r="D303" s="1"/>
      <c r="E303" t="e">
        <f>VLOOKUP(Table_query3[[#This Row],[Metrics]],Metrics!A:C,3,0)</f>
        <v>#N/A</v>
      </c>
      <c r="F303" t="e">
        <f>VLOOKUP(Table_query3[[#This Row],[Metrics]],Metrics!A:C,2,0)</f>
        <v>#N/A</v>
      </c>
      <c r="H303" s="1"/>
    </row>
    <row r="304" spans="1:8" hidden="1" x14ac:dyDescent="0.25">
      <c r="A304" s="1"/>
      <c r="B304" s="4"/>
      <c r="C304" s="1"/>
      <c r="D304" s="1"/>
      <c r="E304" t="e">
        <f>VLOOKUP(Table_query3[[#This Row],[Metrics]],Metrics!A:C,3,0)</f>
        <v>#N/A</v>
      </c>
      <c r="F304" t="e">
        <f>VLOOKUP(Table_query3[[#This Row],[Metrics]],Metrics!A:C,2,0)</f>
        <v>#N/A</v>
      </c>
      <c r="H304" s="1"/>
    </row>
    <row r="305" spans="1:8" hidden="1" x14ac:dyDescent="0.25">
      <c r="A305" s="1"/>
      <c r="B305" s="4"/>
      <c r="C305" s="1"/>
      <c r="D305" s="1"/>
      <c r="E305" t="e">
        <f>VLOOKUP(Table_query3[[#This Row],[Metrics]],Metrics!A:C,3,0)</f>
        <v>#N/A</v>
      </c>
      <c r="F305" t="e">
        <f>VLOOKUP(Table_query3[[#This Row],[Metrics]],Metrics!A:C,2,0)</f>
        <v>#N/A</v>
      </c>
      <c r="H305" s="1"/>
    </row>
    <row r="306" spans="1:8" hidden="1" x14ac:dyDescent="0.25">
      <c r="A306" s="1"/>
      <c r="B306" s="4"/>
      <c r="C306" s="1"/>
      <c r="D306" s="1"/>
      <c r="E306" t="e">
        <f>VLOOKUP(Table_query3[[#This Row],[Metrics]],Metrics!A:C,3,0)</f>
        <v>#N/A</v>
      </c>
      <c r="F306" t="e">
        <f>VLOOKUP(Table_query3[[#This Row],[Metrics]],Metrics!A:C,2,0)</f>
        <v>#N/A</v>
      </c>
      <c r="H306" s="1"/>
    </row>
    <row r="307" spans="1:8" hidden="1" x14ac:dyDescent="0.25">
      <c r="A307" s="1"/>
      <c r="B307" s="4"/>
      <c r="C307" s="1"/>
      <c r="D307" s="1"/>
      <c r="E307" t="e">
        <f>VLOOKUP(Table_query3[[#This Row],[Metrics]],Metrics!A:C,3,0)</f>
        <v>#N/A</v>
      </c>
      <c r="F307" t="e">
        <f>VLOOKUP(Table_query3[[#This Row],[Metrics]],Metrics!A:C,2,0)</f>
        <v>#N/A</v>
      </c>
      <c r="H307" s="1"/>
    </row>
    <row r="308" spans="1:8" hidden="1" x14ac:dyDescent="0.25">
      <c r="A308" s="1"/>
      <c r="B308" s="4"/>
      <c r="C308" s="1"/>
      <c r="D308" s="1"/>
      <c r="E308" t="e">
        <f>VLOOKUP(Table_query3[[#This Row],[Metrics]],Metrics!A:C,3,0)</f>
        <v>#N/A</v>
      </c>
      <c r="F308" t="e">
        <f>VLOOKUP(Table_query3[[#This Row],[Metrics]],Metrics!A:C,2,0)</f>
        <v>#N/A</v>
      </c>
      <c r="H308" s="1"/>
    </row>
    <row r="309" spans="1:8" hidden="1" x14ac:dyDescent="0.25">
      <c r="A309" s="1"/>
      <c r="B309" s="4"/>
      <c r="C309" s="1"/>
      <c r="D309" s="1"/>
      <c r="E309" t="e">
        <f>VLOOKUP(Table_query3[[#This Row],[Metrics]],Metrics!A:C,3,0)</f>
        <v>#N/A</v>
      </c>
      <c r="F309" t="e">
        <f>VLOOKUP(Table_query3[[#This Row],[Metrics]],Metrics!A:C,2,0)</f>
        <v>#N/A</v>
      </c>
      <c r="H309" s="1"/>
    </row>
    <row r="310" spans="1:8" hidden="1" x14ac:dyDescent="0.25">
      <c r="A310" s="1"/>
      <c r="B310" s="4"/>
      <c r="C310" s="1"/>
      <c r="D310" s="1"/>
      <c r="E310" t="e">
        <f>VLOOKUP(Table_query3[[#This Row],[Metrics]],Metrics!A:C,3,0)</f>
        <v>#N/A</v>
      </c>
      <c r="F310" t="e">
        <f>VLOOKUP(Table_query3[[#This Row],[Metrics]],Metrics!A:C,2,0)</f>
        <v>#N/A</v>
      </c>
      <c r="H310" s="1"/>
    </row>
    <row r="311" spans="1:8" hidden="1" x14ac:dyDescent="0.25">
      <c r="A311" s="1"/>
      <c r="B311" s="4"/>
      <c r="C311" s="1"/>
      <c r="D311" s="1"/>
      <c r="E311" t="e">
        <f>VLOOKUP(Table_query3[[#This Row],[Metrics]],Metrics!A:C,3,0)</f>
        <v>#N/A</v>
      </c>
      <c r="F311" t="e">
        <f>VLOOKUP(Table_query3[[#This Row],[Metrics]],Metrics!A:C,2,0)</f>
        <v>#N/A</v>
      </c>
      <c r="H311" s="1"/>
    </row>
    <row r="312" spans="1:8" hidden="1" x14ac:dyDescent="0.25">
      <c r="A312" s="1"/>
      <c r="B312" s="4"/>
      <c r="C312" s="1"/>
      <c r="D312" s="1"/>
      <c r="E312" t="e">
        <f>VLOOKUP(Table_query3[[#This Row],[Metrics]],Metrics!A:C,3,0)</f>
        <v>#N/A</v>
      </c>
      <c r="F312" t="e">
        <f>VLOOKUP(Table_query3[[#This Row],[Metrics]],Metrics!A:C,2,0)</f>
        <v>#N/A</v>
      </c>
      <c r="H312" s="1"/>
    </row>
    <row r="313" spans="1:8" hidden="1" x14ac:dyDescent="0.25">
      <c r="A313" s="1"/>
      <c r="B313" s="4"/>
      <c r="C313" s="1"/>
      <c r="D313" s="1"/>
      <c r="E313" t="e">
        <f>VLOOKUP(Table_query3[[#This Row],[Metrics]],Metrics!A:C,3,0)</f>
        <v>#N/A</v>
      </c>
      <c r="F313" t="e">
        <f>VLOOKUP(Table_query3[[#This Row],[Metrics]],Metrics!A:C,2,0)</f>
        <v>#N/A</v>
      </c>
      <c r="H313" s="1"/>
    </row>
    <row r="314" spans="1:8" hidden="1" x14ac:dyDescent="0.25">
      <c r="A314" s="1"/>
      <c r="B314" s="4"/>
      <c r="C314" s="1"/>
      <c r="D314" s="1"/>
      <c r="E314" t="e">
        <f>VLOOKUP(Table_query3[[#This Row],[Metrics]],Metrics!A:C,3,0)</f>
        <v>#N/A</v>
      </c>
      <c r="F314" t="e">
        <f>VLOOKUP(Table_query3[[#This Row],[Metrics]],Metrics!A:C,2,0)</f>
        <v>#N/A</v>
      </c>
      <c r="H314" s="1"/>
    </row>
    <row r="315" spans="1:8" hidden="1" x14ac:dyDescent="0.25">
      <c r="A315" s="1"/>
      <c r="B315" s="4"/>
      <c r="C315" s="1"/>
      <c r="D315" s="1"/>
      <c r="E315" t="e">
        <f>VLOOKUP(Table_query3[[#This Row],[Metrics]],Metrics!A:C,3,0)</f>
        <v>#N/A</v>
      </c>
      <c r="F315" t="e">
        <f>VLOOKUP(Table_query3[[#This Row],[Metrics]],Metrics!A:C,2,0)</f>
        <v>#N/A</v>
      </c>
      <c r="H315" s="1"/>
    </row>
    <row r="316" spans="1:8" hidden="1" x14ac:dyDescent="0.25">
      <c r="A316" s="1"/>
      <c r="B316" s="4"/>
      <c r="C316" s="1"/>
      <c r="D316" s="1"/>
      <c r="E316" t="e">
        <f>VLOOKUP(Table_query3[[#This Row],[Metrics]],Metrics!A:C,3,0)</f>
        <v>#N/A</v>
      </c>
      <c r="F316" t="e">
        <f>VLOOKUP(Table_query3[[#This Row],[Metrics]],Metrics!A:C,2,0)</f>
        <v>#N/A</v>
      </c>
      <c r="H316" s="1"/>
    </row>
    <row r="317" spans="1:8" hidden="1" x14ac:dyDescent="0.25">
      <c r="A317" s="1"/>
      <c r="B317" s="4"/>
      <c r="C317" s="1"/>
      <c r="D317" s="1"/>
      <c r="E317" t="e">
        <f>VLOOKUP(Table_query3[[#This Row],[Metrics]],Metrics!A:C,3,0)</f>
        <v>#N/A</v>
      </c>
      <c r="F317" t="e">
        <f>VLOOKUP(Table_query3[[#This Row],[Metrics]],Metrics!A:C,2,0)</f>
        <v>#N/A</v>
      </c>
      <c r="H317" s="1"/>
    </row>
    <row r="318" spans="1:8" hidden="1" x14ac:dyDescent="0.25">
      <c r="A318" s="1"/>
      <c r="B318" s="4"/>
      <c r="C318" s="1"/>
      <c r="D318" s="1"/>
      <c r="E318" t="e">
        <f>VLOOKUP(Table_query3[[#This Row],[Metrics]],Metrics!A:C,3,0)</f>
        <v>#N/A</v>
      </c>
      <c r="F318" t="e">
        <f>VLOOKUP(Table_query3[[#This Row],[Metrics]],Metrics!A:C,2,0)</f>
        <v>#N/A</v>
      </c>
      <c r="H318" s="1"/>
    </row>
    <row r="319" spans="1:8" hidden="1" x14ac:dyDescent="0.25">
      <c r="A319" s="1"/>
      <c r="B319" s="4"/>
      <c r="C319" s="1"/>
      <c r="D319" s="1"/>
      <c r="E319" t="e">
        <f>VLOOKUP(Table_query3[[#This Row],[Metrics]],Metrics!A:C,3,0)</f>
        <v>#N/A</v>
      </c>
      <c r="F319" t="e">
        <f>VLOOKUP(Table_query3[[#This Row],[Metrics]],Metrics!A:C,2,0)</f>
        <v>#N/A</v>
      </c>
      <c r="H319" s="1"/>
    </row>
    <row r="320" spans="1:8" hidden="1" x14ac:dyDescent="0.25">
      <c r="A320" s="1"/>
      <c r="B320" s="4"/>
      <c r="C320" s="1"/>
      <c r="D320" s="1"/>
      <c r="E320" t="e">
        <f>VLOOKUP(Table_query3[[#This Row],[Metrics]],Metrics!A:C,3,0)</f>
        <v>#N/A</v>
      </c>
      <c r="F320" t="e">
        <f>VLOOKUP(Table_query3[[#This Row],[Metrics]],Metrics!A:C,2,0)</f>
        <v>#N/A</v>
      </c>
      <c r="H320" s="1"/>
    </row>
    <row r="321" spans="1:8" hidden="1" x14ac:dyDescent="0.25">
      <c r="A321" s="1"/>
      <c r="B321" s="4"/>
      <c r="C321" s="1"/>
      <c r="D321" s="1"/>
      <c r="E321" t="e">
        <f>VLOOKUP(Table_query3[[#This Row],[Metrics]],Metrics!A:C,3,0)</f>
        <v>#N/A</v>
      </c>
      <c r="F321" t="e">
        <f>VLOOKUP(Table_query3[[#This Row],[Metrics]],Metrics!A:C,2,0)</f>
        <v>#N/A</v>
      </c>
      <c r="H321" s="1"/>
    </row>
    <row r="322" spans="1:8" hidden="1" x14ac:dyDescent="0.25">
      <c r="A322" s="1"/>
      <c r="B322" s="4"/>
      <c r="C322" s="1"/>
      <c r="D322" s="1"/>
      <c r="E322" t="e">
        <f>VLOOKUP(Table_query3[[#This Row],[Metrics]],Metrics!A:C,3,0)</f>
        <v>#N/A</v>
      </c>
      <c r="F322" t="e">
        <f>VLOOKUP(Table_query3[[#This Row],[Metrics]],Metrics!A:C,2,0)</f>
        <v>#N/A</v>
      </c>
      <c r="H322" s="1"/>
    </row>
    <row r="323" spans="1:8" hidden="1" x14ac:dyDescent="0.25">
      <c r="A323" s="1"/>
      <c r="B323" s="4"/>
      <c r="C323" s="1"/>
      <c r="D323" s="1"/>
      <c r="E323" t="e">
        <f>VLOOKUP(Table_query3[[#This Row],[Metrics]],Metrics!A:C,3,0)</f>
        <v>#N/A</v>
      </c>
      <c r="F323" t="e">
        <f>VLOOKUP(Table_query3[[#This Row],[Metrics]],Metrics!A:C,2,0)</f>
        <v>#N/A</v>
      </c>
      <c r="H323" s="1"/>
    </row>
    <row r="324" spans="1:8" hidden="1" x14ac:dyDescent="0.25">
      <c r="A324" s="1"/>
      <c r="B324" s="4"/>
      <c r="C324" s="1"/>
      <c r="D324" s="1"/>
      <c r="E324" t="e">
        <f>VLOOKUP(Table_query3[[#This Row],[Metrics]],Metrics!A:C,3,0)</f>
        <v>#N/A</v>
      </c>
      <c r="F324" t="e">
        <f>VLOOKUP(Table_query3[[#This Row],[Metrics]],Metrics!A:C,2,0)</f>
        <v>#N/A</v>
      </c>
      <c r="H324" s="1"/>
    </row>
    <row r="325" spans="1:8" hidden="1" x14ac:dyDescent="0.25">
      <c r="A325" s="1"/>
      <c r="B325" s="4"/>
      <c r="C325" s="1"/>
      <c r="D325" s="1"/>
      <c r="E325" t="e">
        <f>VLOOKUP(Table_query3[[#This Row],[Metrics]],Metrics!A:C,3,0)</f>
        <v>#N/A</v>
      </c>
      <c r="F325" t="e">
        <f>VLOOKUP(Table_query3[[#This Row],[Metrics]],Metrics!A:C,2,0)</f>
        <v>#N/A</v>
      </c>
      <c r="H325" s="1"/>
    </row>
    <row r="326" spans="1:8" hidden="1" x14ac:dyDescent="0.25">
      <c r="A326" s="1"/>
      <c r="B326" s="4"/>
      <c r="C326" s="1"/>
      <c r="D326" s="1"/>
      <c r="E326" t="e">
        <f>VLOOKUP(Table_query3[[#This Row],[Metrics]],Metrics!A:C,3,0)</f>
        <v>#N/A</v>
      </c>
      <c r="F326" t="e">
        <f>VLOOKUP(Table_query3[[#This Row],[Metrics]],Metrics!A:C,2,0)</f>
        <v>#N/A</v>
      </c>
      <c r="H326" s="1"/>
    </row>
    <row r="327" spans="1:8" hidden="1" x14ac:dyDescent="0.25">
      <c r="A327" s="1"/>
      <c r="B327" s="4"/>
      <c r="C327" s="1"/>
      <c r="D327" s="1"/>
      <c r="E327" t="e">
        <f>VLOOKUP(Table_query3[[#This Row],[Metrics]],Metrics!A:C,3,0)</f>
        <v>#N/A</v>
      </c>
      <c r="F327" t="e">
        <f>VLOOKUP(Table_query3[[#This Row],[Metrics]],Metrics!A:C,2,0)</f>
        <v>#N/A</v>
      </c>
      <c r="H327" s="1"/>
    </row>
    <row r="328" spans="1:8" hidden="1" x14ac:dyDescent="0.25">
      <c r="A328" s="1"/>
      <c r="B328" s="4"/>
      <c r="C328" s="1"/>
      <c r="D328" s="1"/>
      <c r="E328" t="e">
        <f>VLOOKUP(Table_query3[[#This Row],[Metrics]],Metrics!A:C,3,0)</f>
        <v>#N/A</v>
      </c>
      <c r="F328" t="e">
        <f>VLOOKUP(Table_query3[[#This Row],[Metrics]],Metrics!A:C,2,0)</f>
        <v>#N/A</v>
      </c>
      <c r="H328" s="1"/>
    </row>
    <row r="329" spans="1:8" hidden="1" x14ac:dyDescent="0.25">
      <c r="A329" s="1"/>
      <c r="B329" s="4"/>
      <c r="C329" s="1"/>
      <c r="D329" s="1"/>
      <c r="E329" t="e">
        <f>VLOOKUP(Table_query3[[#This Row],[Metrics]],Metrics!A:C,3,0)</f>
        <v>#N/A</v>
      </c>
      <c r="F329" t="e">
        <f>VLOOKUP(Table_query3[[#This Row],[Metrics]],Metrics!A:C,2,0)</f>
        <v>#N/A</v>
      </c>
      <c r="H329" s="1"/>
    </row>
    <row r="330" spans="1:8" hidden="1" x14ac:dyDescent="0.25">
      <c r="A330" s="1"/>
      <c r="B330" s="4"/>
      <c r="C330" s="1"/>
      <c r="D330" s="1"/>
      <c r="E330" t="e">
        <f>VLOOKUP(Table_query3[[#This Row],[Metrics]],Metrics!A:C,3,0)</f>
        <v>#N/A</v>
      </c>
      <c r="F330" t="e">
        <f>VLOOKUP(Table_query3[[#This Row],[Metrics]],Metrics!A:C,2,0)</f>
        <v>#N/A</v>
      </c>
      <c r="H330" s="1"/>
    </row>
    <row r="331" spans="1:8" hidden="1" x14ac:dyDescent="0.25">
      <c r="A331" s="1"/>
      <c r="B331" s="4"/>
      <c r="C331" s="1"/>
      <c r="D331" s="1"/>
      <c r="E331" t="e">
        <f>VLOOKUP(Table_query3[[#This Row],[Metrics]],Metrics!A:C,3,0)</f>
        <v>#N/A</v>
      </c>
      <c r="F331" t="e">
        <f>VLOOKUP(Table_query3[[#This Row],[Metrics]],Metrics!A:C,2,0)</f>
        <v>#N/A</v>
      </c>
      <c r="H331" s="1"/>
    </row>
    <row r="332" spans="1:8" hidden="1" x14ac:dyDescent="0.25">
      <c r="A332" s="1"/>
      <c r="B332" s="4"/>
      <c r="C332" s="1"/>
      <c r="D332" s="1"/>
      <c r="E332" t="e">
        <f>VLOOKUP(Table_query3[[#This Row],[Metrics]],Metrics!A:C,3,0)</f>
        <v>#N/A</v>
      </c>
      <c r="F332" t="e">
        <f>VLOOKUP(Table_query3[[#This Row],[Metrics]],Metrics!A:C,2,0)</f>
        <v>#N/A</v>
      </c>
      <c r="H332" s="1"/>
    </row>
    <row r="333" spans="1:8" hidden="1" x14ac:dyDescent="0.25">
      <c r="A333" s="1"/>
      <c r="B333" s="4"/>
      <c r="C333" s="1"/>
      <c r="D333" s="1"/>
      <c r="E333" t="e">
        <f>VLOOKUP(Table_query3[[#This Row],[Metrics]],Metrics!A:C,3,0)</f>
        <v>#N/A</v>
      </c>
      <c r="F333" t="e">
        <f>VLOOKUP(Table_query3[[#This Row],[Metrics]],Metrics!A:C,2,0)</f>
        <v>#N/A</v>
      </c>
      <c r="H333" s="1"/>
    </row>
    <row r="334" spans="1:8" hidden="1" x14ac:dyDescent="0.25">
      <c r="A334" s="1"/>
      <c r="B334" s="4"/>
      <c r="C334" s="1"/>
      <c r="D334" s="1"/>
      <c r="E334" t="e">
        <f>VLOOKUP(Table_query3[[#This Row],[Metrics]],Metrics!A:C,3,0)</f>
        <v>#N/A</v>
      </c>
      <c r="F334" t="e">
        <f>VLOOKUP(Table_query3[[#This Row],[Metrics]],Metrics!A:C,2,0)</f>
        <v>#N/A</v>
      </c>
      <c r="H334" s="1"/>
    </row>
    <row r="335" spans="1:8" hidden="1" x14ac:dyDescent="0.25">
      <c r="A335" s="1"/>
      <c r="B335" s="4"/>
      <c r="C335" s="1"/>
      <c r="D335" s="1"/>
      <c r="E335" t="e">
        <f>VLOOKUP(Table_query3[[#This Row],[Metrics]],Metrics!A:C,3,0)</f>
        <v>#N/A</v>
      </c>
      <c r="F335" t="e">
        <f>VLOOKUP(Table_query3[[#This Row],[Metrics]],Metrics!A:C,2,0)</f>
        <v>#N/A</v>
      </c>
      <c r="H335" s="1"/>
    </row>
    <row r="336" spans="1:8" hidden="1" x14ac:dyDescent="0.25">
      <c r="A336" s="1"/>
      <c r="B336" s="4"/>
      <c r="C336" s="1"/>
      <c r="D336" s="1"/>
      <c r="E336" t="e">
        <f>VLOOKUP(Table_query3[[#This Row],[Metrics]],Metrics!A:C,3,0)</f>
        <v>#N/A</v>
      </c>
      <c r="F336" t="e">
        <f>VLOOKUP(Table_query3[[#This Row],[Metrics]],Metrics!A:C,2,0)</f>
        <v>#N/A</v>
      </c>
      <c r="H336" s="1"/>
    </row>
    <row r="337" spans="1:8" hidden="1" x14ac:dyDescent="0.25">
      <c r="A337" s="1"/>
      <c r="B337" s="4"/>
      <c r="C337" s="1"/>
      <c r="D337" s="1"/>
      <c r="E337" t="e">
        <f>VLOOKUP(Table_query3[[#This Row],[Metrics]],Metrics!A:C,3,0)</f>
        <v>#N/A</v>
      </c>
      <c r="F337" t="e">
        <f>VLOOKUP(Table_query3[[#This Row],[Metrics]],Metrics!A:C,2,0)</f>
        <v>#N/A</v>
      </c>
      <c r="H337" s="1"/>
    </row>
    <row r="338" spans="1:8" hidden="1" x14ac:dyDescent="0.25">
      <c r="A338" s="1"/>
      <c r="B338" s="4"/>
      <c r="C338" s="1"/>
      <c r="D338" s="1"/>
      <c r="E338" t="e">
        <f>VLOOKUP(Table_query3[[#This Row],[Metrics]],Metrics!A:C,3,0)</f>
        <v>#N/A</v>
      </c>
      <c r="F338" t="e">
        <f>VLOOKUP(Table_query3[[#This Row],[Metrics]],Metrics!A:C,2,0)</f>
        <v>#N/A</v>
      </c>
      <c r="H338" s="1"/>
    </row>
    <row r="339" spans="1:8" hidden="1" x14ac:dyDescent="0.25">
      <c r="A339" s="1"/>
      <c r="B339" s="4"/>
      <c r="C339" s="1"/>
      <c r="D339" s="1"/>
      <c r="E339" t="e">
        <f>VLOOKUP(Table_query3[[#This Row],[Metrics]],Metrics!A:C,3,0)</f>
        <v>#N/A</v>
      </c>
      <c r="F339" t="e">
        <f>VLOOKUP(Table_query3[[#This Row],[Metrics]],Metrics!A:C,2,0)</f>
        <v>#N/A</v>
      </c>
      <c r="H339" s="1"/>
    </row>
    <row r="340" spans="1:8" hidden="1" x14ac:dyDescent="0.25">
      <c r="A340" s="1"/>
      <c r="B340" s="4"/>
      <c r="C340" s="1"/>
      <c r="D340" s="1"/>
      <c r="E340" t="e">
        <f>VLOOKUP(Table_query3[[#This Row],[Metrics]],Metrics!A:C,3,0)</f>
        <v>#N/A</v>
      </c>
      <c r="F340" t="e">
        <f>VLOOKUP(Table_query3[[#This Row],[Metrics]],Metrics!A:C,2,0)</f>
        <v>#N/A</v>
      </c>
      <c r="H340" s="1"/>
    </row>
    <row r="341" spans="1:8" hidden="1" x14ac:dyDescent="0.25">
      <c r="A341" s="1"/>
      <c r="B341" s="4"/>
      <c r="C341" s="1"/>
      <c r="D341" s="1"/>
      <c r="E341" t="e">
        <f>VLOOKUP(Table_query3[[#This Row],[Metrics]],Metrics!A:C,3,0)</f>
        <v>#N/A</v>
      </c>
      <c r="F341" t="e">
        <f>VLOOKUP(Table_query3[[#This Row],[Metrics]],Metrics!A:C,2,0)</f>
        <v>#N/A</v>
      </c>
      <c r="H341" s="1"/>
    </row>
    <row r="342" spans="1:8" hidden="1" x14ac:dyDescent="0.25">
      <c r="A342" s="1"/>
      <c r="B342" s="4"/>
      <c r="C342" s="1"/>
      <c r="D342" s="1"/>
      <c r="E342" t="e">
        <f>VLOOKUP(Table_query3[[#This Row],[Metrics]],Metrics!A:C,3,0)</f>
        <v>#N/A</v>
      </c>
      <c r="F342" t="e">
        <f>VLOOKUP(Table_query3[[#This Row],[Metrics]],Metrics!A:C,2,0)</f>
        <v>#N/A</v>
      </c>
      <c r="H342" s="1"/>
    </row>
    <row r="343" spans="1:8" hidden="1" x14ac:dyDescent="0.25">
      <c r="A343" s="1"/>
      <c r="B343" s="4"/>
      <c r="C343" s="1"/>
      <c r="D343" s="1"/>
      <c r="E343" t="e">
        <f>VLOOKUP(Table_query3[[#This Row],[Metrics]],Metrics!A:C,3,0)</f>
        <v>#N/A</v>
      </c>
      <c r="F343" t="e">
        <f>VLOOKUP(Table_query3[[#This Row],[Metrics]],Metrics!A:C,2,0)</f>
        <v>#N/A</v>
      </c>
      <c r="H343" s="1"/>
    </row>
    <row r="344" spans="1:8" hidden="1" x14ac:dyDescent="0.25">
      <c r="A344" s="1"/>
      <c r="B344" s="4"/>
      <c r="C344" s="1"/>
      <c r="D344" s="1"/>
      <c r="E344" t="e">
        <f>VLOOKUP(Table_query3[[#This Row],[Metrics]],Metrics!A:C,3,0)</f>
        <v>#N/A</v>
      </c>
      <c r="F344" t="e">
        <f>VLOOKUP(Table_query3[[#This Row],[Metrics]],Metrics!A:C,2,0)</f>
        <v>#N/A</v>
      </c>
      <c r="H344" s="1"/>
    </row>
    <row r="345" spans="1:8" hidden="1" x14ac:dyDescent="0.25">
      <c r="A345" s="1"/>
      <c r="B345" s="4"/>
      <c r="C345" s="1"/>
      <c r="D345" s="1"/>
      <c r="E345" t="e">
        <f>VLOOKUP(Table_query3[[#This Row],[Metrics]],Metrics!A:C,3,0)</f>
        <v>#N/A</v>
      </c>
      <c r="F345" t="e">
        <f>VLOOKUP(Table_query3[[#This Row],[Metrics]],Metrics!A:C,2,0)</f>
        <v>#N/A</v>
      </c>
      <c r="H345" s="1"/>
    </row>
    <row r="346" spans="1:8" hidden="1" x14ac:dyDescent="0.25">
      <c r="A346" s="1"/>
      <c r="B346" s="4"/>
      <c r="C346" s="1"/>
      <c r="D346" s="1"/>
      <c r="E346" t="e">
        <f>VLOOKUP(Table_query3[[#This Row],[Metrics]],Metrics!A:C,3,0)</f>
        <v>#N/A</v>
      </c>
      <c r="F346" t="e">
        <f>VLOOKUP(Table_query3[[#This Row],[Metrics]],Metrics!A:C,2,0)</f>
        <v>#N/A</v>
      </c>
      <c r="H346" s="1"/>
    </row>
    <row r="347" spans="1:8" hidden="1" x14ac:dyDescent="0.25">
      <c r="A347" s="1"/>
      <c r="B347" s="4"/>
      <c r="C347" s="1"/>
      <c r="D347" s="1"/>
      <c r="E347" t="e">
        <f>VLOOKUP(Table_query3[[#This Row],[Metrics]],Metrics!A:C,3,0)</f>
        <v>#N/A</v>
      </c>
      <c r="F347" t="e">
        <f>VLOOKUP(Table_query3[[#This Row],[Metrics]],Metrics!A:C,2,0)</f>
        <v>#N/A</v>
      </c>
      <c r="H347" s="1"/>
    </row>
    <row r="348" spans="1:8" hidden="1" x14ac:dyDescent="0.25">
      <c r="A348" s="1"/>
      <c r="B348" s="4"/>
      <c r="C348" s="1"/>
      <c r="D348" s="1"/>
      <c r="E348" t="e">
        <f>VLOOKUP(Table_query3[[#This Row],[Metrics]],Metrics!A:C,3,0)</f>
        <v>#N/A</v>
      </c>
      <c r="F348" t="e">
        <f>VLOOKUP(Table_query3[[#This Row],[Metrics]],Metrics!A:C,2,0)</f>
        <v>#N/A</v>
      </c>
      <c r="H348" s="1"/>
    </row>
    <row r="349" spans="1:8" hidden="1" x14ac:dyDescent="0.25">
      <c r="A349" s="1"/>
      <c r="B349" s="4"/>
      <c r="C349" s="1"/>
      <c r="D349" s="1"/>
      <c r="E349" t="e">
        <f>VLOOKUP(Table_query3[[#This Row],[Metrics]],Metrics!A:C,3,0)</f>
        <v>#N/A</v>
      </c>
      <c r="F349" t="e">
        <f>VLOOKUP(Table_query3[[#This Row],[Metrics]],Metrics!A:C,2,0)</f>
        <v>#N/A</v>
      </c>
      <c r="H349" s="1"/>
    </row>
    <row r="350" spans="1:8" hidden="1" x14ac:dyDescent="0.25">
      <c r="A350" s="1"/>
      <c r="B350" s="4"/>
      <c r="C350" s="1"/>
      <c r="D350" s="1"/>
      <c r="E350" t="e">
        <f>VLOOKUP(Table_query3[[#This Row],[Metrics]],Metrics!A:C,3,0)</f>
        <v>#N/A</v>
      </c>
      <c r="F350" t="e">
        <f>VLOOKUP(Table_query3[[#This Row],[Metrics]],Metrics!A:C,2,0)</f>
        <v>#N/A</v>
      </c>
      <c r="H350" s="1"/>
    </row>
    <row r="351" spans="1:8" hidden="1" x14ac:dyDescent="0.25">
      <c r="A351" s="1"/>
      <c r="B351" s="4"/>
      <c r="C351" s="1"/>
      <c r="D351" s="1"/>
      <c r="E351" t="e">
        <f>VLOOKUP(Table_query3[[#This Row],[Metrics]],Metrics!A:C,3,0)</f>
        <v>#N/A</v>
      </c>
      <c r="F351" t="e">
        <f>VLOOKUP(Table_query3[[#This Row],[Metrics]],Metrics!A:C,2,0)</f>
        <v>#N/A</v>
      </c>
      <c r="H351" s="1"/>
    </row>
    <row r="352" spans="1:8" hidden="1" x14ac:dyDescent="0.25">
      <c r="A352" s="1"/>
      <c r="B352" s="4"/>
      <c r="C352" s="1"/>
      <c r="D352" s="1"/>
      <c r="E352" t="e">
        <f>VLOOKUP(Table_query3[[#This Row],[Metrics]],Metrics!A:C,3,0)</f>
        <v>#N/A</v>
      </c>
      <c r="F352" t="e">
        <f>VLOOKUP(Table_query3[[#This Row],[Metrics]],Metrics!A:C,2,0)</f>
        <v>#N/A</v>
      </c>
      <c r="H352" s="1"/>
    </row>
    <row r="353" spans="1:8" hidden="1" x14ac:dyDescent="0.25">
      <c r="A353" s="1"/>
      <c r="B353" s="4"/>
      <c r="C353" s="1"/>
      <c r="D353" s="1"/>
      <c r="E353" t="e">
        <f>VLOOKUP(Table_query3[[#This Row],[Metrics]],Metrics!A:C,3,0)</f>
        <v>#N/A</v>
      </c>
      <c r="F353" t="e">
        <f>VLOOKUP(Table_query3[[#This Row],[Metrics]],Metrics!A:C,2,0)</f>
        <v>#N/A</v>
      </c>
      <c r="H353" s="1"/>
    </row>
    <row r="354" spans="1:8" hidden="1" x14ac:dyDescent="0.25">
      <c r="A354" s="1"/>
      <c r="B354" s="4"/>
      <c r="C354" s="1"/>
      <c r="D354" s="1"/>
      <c r="E354" t="e">
        <f>VLOOKUP(Table_query3[[#This Row],[Metrics]],Metrics!A:C,3,0)</f>
        <v>#N/A</v>
      </c>
      <c r="F354" t="e">
        <f>VLOOKUP(Table_query3[[#This Row],[Metrics]],Metrics!A:C,2,0)</f>
        <v>#N/A</v>
      </c>
      <c r="H354" s="1"/>
    </row>
    <row r="355" spans="1:8" hidden="1" x14ac:dyDescent="0.25">
      <c r="A355" s="1"/>
      <c r="B355" s="4"/>
      <c r="C355" s="1"/>
      <c r="D355" s="1"/>
      <c r="E355" t="e">
        <f>VLOOKUP(Table_query3[[#This Row],[Metrics]],Metrics!A:C,3,0)</f>
        <v>#N/A</v>
      </c>
      <c r="F355" t="e">
        <f>VLOOKUP(Table_query3[[#This Row],[Metrics]],Metrics!A:C,2,0)</f>
        <v>#N/A</v>
      </c>
      <c r="H355" s="1"/>
    </row>
    <row r="356" spans="1:8" hidden="1" x14ac:dyDescent="0.25">
      <c r="A356" s="1"/>
      <c r="B356" s="4"/>
      <c r="C356" s="1"/>
      <c r="D356" s="1"/>
      <c r="E356" t="e">
        <f>VLOOKUP(Table_query3[[#This Row],[Metrics]],Metrics!A:C,3,0)</f>
        <v>#N/A</v>
      </c>
      <c r="F356" t="e">
        <f>VLOOKUP(Table_query3[[#This Row],[Metrics]],Metrics!A:C,2,0)</f>
        <v>#N/A</v>
      </c>
      <c r="H356" s="1"/>
    </row>
    <row r="357" spans="1:8" hidden="1" x14ac:dyDescent="0.25">
      <c r="A357" s="1"/>
      <c r="B357" s="4"/>
      <c r="C357" s="1"/>
      <c r="D357" s="1"/>
      <c r="E357" t="e">
        <f>VLOOKUP(Table_query3[[#This Row],[Metrics]],Metrics!A:C,3,0)</f>
        <v>#N/A</v>
      </c>
      <c r="F357" t="e">
        <f>VLOOKUP(Table_query3[[#This Row],[Metrics]],Metrics!A:C,2,0)</f>
        <v>#N/A</v>
      </c>
      <c r="H357" s="1"/>
    </row>
    <row r="358" spans="1:8" hidden="1" x14ac:dyDescent="0.25">
      <c r="A358" s="1"/>
      <c r="B358" s="4"/>
      <c r="C358" s="1"/>
      <c r="D358" s="1"/>
      <c r="E358" t="e">
        <f>VLOOKUP(Table_query3[[#This Row],[Metrics]],Metrics!A:C,3,0)</f>
        <v>#N/A</v>
      </c>
      <c r="F358" t="e">
        <f>VLOOKUP(Table_query3[[#This Row],[Metrics]],Metrics!A:C,2,0)</f>
        <v>#N/A</v>
      </c>
      <c r="H358" s="1"/>
    </row>
    <row r="359" spans="1:8" hidden="1" x14ac:dyDescent="0.25">
      <c r="A359" s="1"/>
      <c r="B359" s="4"/>
      <c r="C359" s="1"/>
      <c r="D359" s="1"/>
      <c r="E359" t="e">
        <f>VLOOKUP(Table_query3[[#This Row],[Metrics]],Metrics!A:C,3,0)</f>
        <v>#N/A</v>
      </c>
      <c r="F359" t="e">
        <f>VLOOKUP(Table_query3[[#This Row],[Metrics]],Metrics!A:C,2,0)</f>
        <v>#N/A</v>
      </c>
      <c r="H359" s="1"/>
    </row>
    <row r="360" spans="1:8" hidden="1" x14ac:dyDescent="0.25">
      <c r="A360" s="1"/>
      <c r="B360" s="4"/>
      <c r="C360" s="1"/>
      <c r="D360" s="1"/>
      <c r="E360" t="e">
        <f>VLOOKUP(Table_query3[[#This Row],[Metrics]],Metrics!A:C,3,0)</f>
        <v>#N/A</v>
      </c>
      <c r="F360" t="e">
        <f>VLOOKUP(Table_query3[[#This Row],[Metrics]],Metrics!A:C,2,0)</f>
        <v>#N/A</v>
      </c>
      <c r="H360" s="1"/>
    </row>
    <row r="361" spans="1:8" hidden="1" x14ac:dyDescent="0.25">
      <c r="A361" s="1"/>
      <c r="B361" s="4"/>
      <c r="C361" s="1"/>
      <c r="D361" s="1"/>
      <c r="E361" t="e">
        <f>VLOOKUP(Table_query3[[#This Row],[Metrics]],Metrics!A:C,3,0)</f>
        <v>#N/A</v>
      </c>
      <c r="F361" t="e">
        <f>VLOOKUP(Table_query3[[#This Row],[Metrics]],Metrics!A:C,2,0)</f>
        <v>#N/A</v>
      </c>
      <c r="H361" s="1"/>
    </row>
    <row r="362" spans="1:8" hidden="1" x14ac:dyDescent="0.25">
      <c r="A362" s="1"/>
      <c r="B362" s="4"/>
      <c r="C362" s="1"/>
      <c r="D362" s="1"/>
      <c r="E362" t="e">
        <f>VLOOKUP(Table_query3[[#This Row],[Metrics]],Metrics!A:C,3,0)</f>
        <v>#N/A</v>
      </c>
      <c r="F362" t="e">
        <f>VLOOKUP(Table_query3[[#This Row],[Metrics]],Metrics!A:C,2,0)</f>
        <v>#N/A</v>
      </c>
      <c r="H362" s="1"/>
    </row>
    <row r="363" spans="1:8" hidden="1" x14ac:dyDescent="0.25">
      <c r="A363" s="1"/>
      <c r="B363" s="4"/>
      <c r="C363" s="1"/>
      <c r="D363" s="1"/>
      <c r="E363" t="e">
        <f>VLOOKUP(Table_query3[[#This Row],[Metrics]],Metrics!A:C,3,0)</f>
        <v>#N/A</v>
      </c>
      <c r="F363" t="e">
        <f>VLOOKUP(Table_query3[[#This Row],[Metrics]],Metrics!A:C,2,0)</f>
        <v>#N/A</v>
      </c>
      <c r="H363" s="1"/>
    </row>
    <row r="364" spans="1:8" hidden="1" x14ac:dyDescent="0.25">
      <c r="A364" s="1"/>
      <c r="B364" s="4"/>
      <c r="C364" s="1"/>
      <c r="D364" s="1"/>
      <c r="E364" t="e">
        <f>VLOOKUP(Table_query3[[#This Row],[Metrics]],Metrics!A:C,3,0)</f>
        <v>#N/A</v>
      </c>
      <c r="F364" t="e">
        <f>VLOOKUP(Table_query3[[#This Row],[Metrics]],Metrics!A:C,2,0)</f>
        <v>#N/A</v>
      </c>
      <c r="H364" s="1"/>
    </row>
    <row r="365" spans="1:8" hidden="1" x14ac:dyDescent="0.25">
      <c r="A365" s="1"/>
      <c r="B365" s="4"/>
      <c r="C365" s="1"/>
      <c r="D365" s="1"/>
      <c r="E365" t="e">
        <f>VLOOKUP(Table_query3[[#This Row],[Metrics]],Metrics!A:C,3,0)</f>
        <v>#N/A</v>
      </c>
      <c r="F365" t="e">
        <f>VLOOKUP(Table_query3[[#This Row],[Metrics]],Metrics!A:C,2,0)</f>
        <v>#N/A</v>
      </c>
      <c r="H365" s="1"/>
    </row>
    <row r="366" spans="1:8" hidden="1" x14ac:dyDescent="0.25">
      <c r="A366" s="1"/>
      <c r="B366" s="4"/>
      <c r="C366" s="1"/>
      <c r="D366" s="1"/>
      <c r="E366" t="e">
        <f>VLOOKUP(Table_query3[[#This Row],[Metrics]],Metrics!A:C,3,0)</f>
        <v>#N/A</v>
      </c>
      <c r="F366" t="e">
        <f>VLOOKUP(Table_query3[[#This Row],[Metrics]],Metrics!A:C,2,0)</f>
        <v>#N/A</v>
      </c>
      <c r="H366" s="1"/>
    </row>
    <row r="367" spans="1:8" hidden="1" x14ac:dyDescent="0.25">
      <c r="A367" s="1"/>
      <c r="B367" s="4"/>
      <c r="C367" s="1"/>
      <c r="D367" s="1"/>
      <c r="E367" t="e">
        <f>VLOOKUP(Table_query3[[#This Row],[Metrics]],Metrics!A:C,3,0)</f>
        <v>#N/A</v>
      </c>
      <c r="F367" t="e">
        <f>VLOOKUP(Table_query3[[#This Row],[Metrics]],Metrics!A:C,2,0)</f>
        <v>#N/A</v>
      </c>
      <c r="H367" s="1"/>
    </row>
    <row r="368" spans="1:8" hidden="1" x14ac:dyDescent="0.25">
      <c r="A368" s="1"/>
      <c r="B368" s="4"/>
      <c r="C368" s="1"/>
      <c r="D368" s="1"/>
      <c r="E368" t="e">
        <f>VLOOKUP(Table_query3[[#This Row],[Metrics]],Metrics!A:C,3,0)</f>
        <v>#N/A</v>
      </c>
      <c r="F368" t="e">
        <f>VLOOKUP(Table_query3[[#This Row],[Metrics]],Metrics!A:C,2,0)</f>
        <v>#N/A</v>
      </c>
      <c r="H368" s="1"/>
    </row>
    <row r="369" spans="1:8" hidden="1" x14ac:dyDescent="0.25">
      <c r="A369" s="1"/>
      <c r="B369" s="4"/>
      <c r="C369" s="1"/>
      <c r="D369" s="1"/>
      <c r="E369" t="e">
        <f>VLOOKUP(Table_query3[[#This Row],[Metrics]],Metrics!A:C,3,0)</f>
        <v>#N/A</v>
      </c>
      <c r="F369" t="e">
        <f>VLOOKUP(Table_query3[[#This Row],[Metrics]],Metrics!A:C,2,0)</f>
        <v>#N/A</v>
      </c>
      <c r="H369" s="1"/>
    </row>
    <row r="370" spans="1:8" hidden="1" x14ac:dyDescent="0.25">
      <c r="A370" s="1"/>
      <c r="B370" s="4"/>
      <c r="C370" s="1"/>
      <c r="D370" s="1"/>
      <c r="E370" t="e">
        <f>VLOOKUP(Table_query3[[#This Row],[Metrics]],Metrics!A:C,3,0)</f>
        <v>#N/A</v>
      </c>
      <c r="F370" t="e">
        <f>VLOOKUP(Table_query3[[#This Row],[Metrics]],Metrics!A:C,2,0)</f>
        <v>#N/A</v>
      </c>
      <c r="H370" s="1"/>
    </row>
    <row r="371" spans="1:8" hidden="1" x14ac:dyDescent="0.25">
      <c r="A371" s="1"/>
      <c r="B371" s="4"/>
      <c r="C371" s="1"/>
      <c r="D371" s="1"/>
      <c r="E371" t="e">
        <f>VLOOKUP(Table_query3[[#This Row],[Metrics]],Metrics!A:C,3,0)</f>
        <v>#N/A</v>
      </c>
      <c r="F371" t="e">
        <f>VLOOKUP(Table_query3[[#This Row],[Metrics]],Metrics!A:C,2,0)</f>
        <v>#N/A</v>
      </c>
      <c r="H371" s="1"/>
    </row>
    <row r="372" spans="1:8" hidden="1" x14ac:dyDescent="0.25">
      <c r="A372" s="1"/>
      <c r="B372" s="4"/>
      <c r="C372" s="1"/>
      <c r="D372" s="1"/>
      <c r="E372" t="e">
        <f>VLOOKUP(Table_query3[[#This Row],[Metrics]],Metrics!A:C,3,0)</f>
        <v>#N/A</v>
      </c>
      <c r="F372" t="e">
        <f>VLOOKUP(Table_query3[[#This Row],[Metrics]],Metrics!A:C,2,0)</f>
        <v>#N/A</v>
      </c>
      <c r="H372" s="1"/>
    </row>
    <row r="373" spans="1:8" hidden="1" x14ac:dyDescent="0.25">
      <c r="A373" s="1"/>
      <c r="B373" s="4"/>
      <c r="C373" s="1"/>
      <c r="D373" s="1"/>
      <c r="E373" t="e">
        <f>VLOOKUP(Table_query3[[#This Row],[Metrics]],Metrics!A:C,3,0)</f>
        <v>#N/A</v>
      </c>
      <c r="F373" t="e">
        <f>VLOOKUP(Table_query3[[#This Row],[Metrics]],Metrics!A:C,2,0)</f>
        <v>#N/A</v>
      </c>
      <c r="H373" s="1"/>
    </row>
    <row r="374" spans="1:8" hidden="1" x14ac:dyDescent="0.25">
      <c r="A374" s="1"/>
      <c r="B374" s="4"/>
      <c r="C374" s="1"/>
      <c r="D374" s="1"/>
      <c r="E374" t="e">
        <f>VLOOKUP(Table_query3[[#This Row],[Metrics]],Metrics!A:C,3,0)</f>
        <v>#N/A</v>
      </c>
      <c r="F374" t="e">
        <f>VLOOKUP(Table_query3[[#This Row],[Metrics]],Metrics!A:C,2,0)</f>
        <v>#N/A</v>
      </c>
      <c r="H374" s="1"/>
    </row>
    <row r="375" spans="1:8" hidden="1" x14ac:dyDescent="0.25">
      <c r="A375" s="1"/>
      <c r="B375" s="4"/>
      <c r="C375" s="1"/>
      <c r="D375" s="1"/>
      <c r="E375" t="e">
        <f>VLOOKUP(Table_query3[[#This Row],[Metrics]],Metrics!A:C,3,0)</f>
        <v>#N/A</v>
      </c>
      <c r="F375" t="e">
        <f>VLOOKUP(Table_query3[[#This Row],[Metrics]],Metrics!A:C,2,0)</f>
        <v>#N/A</v>
      </c>
      <c r="H375" s="1"/>
    </row>
    <row r="376" spans="1:8" hidden="1" x14ac:dyDescent="0.25">
      <c r="A376" s="1"/>
      <c r="B376" s="4"/>
      <c r="C376" s="1"/>
      <c r="D376" s="1"/>
      <c r="E376" t="e">
        <f>VLOOKUP(Table_query3[[#This Row],[Metrics]],Metrics!A:C,3,0)</f>
        <v>#N/A</v>
      </c>
      <c r="F376" t="e">
        <f>VLOOKUP(Table_query3[[#This Row],[Metrics]],Metrics!A:C,2,0)</f>
        <v>#N/A</v>
      </c>
      <c r="H376" s="1"/>
    </row>
    <row r="377" spans="1:8" hidden="1" x14ac:dyDescent="0.25">
      <c r="A377" s="1"/>
      <c r="B377" s="4"/>
      <c r="C377" s="1"/>
      <c r="D377" s="1"/>
      <c r="E377" t="e">
        <f>VLOOKUP(Table_query3[[#This Row],[Metrics]],Metrics!A:C,3,0)</f>
        <v>#N/A</v>
      </c>
      <c r="F377" t="e">
        <f>VLOOKUP(Table_query3[[#This Row],[Metrics]],Metrics!A:C,2,0)</f>
        <v>#N/A</v>
      </c>
      <c r="H377" s="1"/>
    </row>
    <row r="378" spans="1:8" hidden="1" x14ac:dyDescent="0.25">
      <c r="A378" s="1"/>
      <c r="B378" s="4"/>
      <c r="C378" s="1"/>
      <c r="D378" s="1"/>
      <c r="E378" t="e">
        <f>VLOOKUP(Table_query3[[#This Row],[Metrics]],Metrics!A:C,3,0)</f>
        <v>#N/A</v>
      </c>
      <c r="F378" t="e">
        <f>VLOOKUP(Table_query3[[#This Row],[Metrics]],Metrics!A:C,2,0)</f>
        <v>#N/A</v>
      </c>
      <c r="H378" s="1"/>
    </row>
    <row r="379" spans="1:8" hidden="1" x14ac:dyDescent="0.25">
      <c r="A379" s="1"/>
      <c r="B379" s="4"/>
      <c r="C379" s="1"/>
      <c r="D379" s="1"/>
      <c r="E379" t="e">
        <f>VLOOKUP(Table_query3[[#This Row],[Metrics]],Metrics!A:C,3,0)</f>
        <v>#N/A</v>
      </c>
      <c r="F379" t="e">
        <f>VLOOKUP(Table_query3[[#This Row],[Metrics]],Metrics!A:C,2,0)</f>
        <v>#N/A</v>
      </c>
      <c r="H379" s="1"/>
    </row>
    <row r="380" spans="1:8" hidden="1" x14ac:dyDescent="0.25">
      <c r="A380" s="1"/>
      <c r="B380" s="4"/>
      <c r="C380" s="1"/>
      <c r="D380" s="1"/>
      <c r="E380" t="e">
        <f>VLOOKUP(Table_query3[[#This Row],[Metrics]],Metrics!A:C,3,0)</f>
        <v>#N/A</v>
      </c>
      <c r="F380" t="e">
        <f>VLOOKUP(Table_query3[[#This Row],[Metrics]],Metrics!A:C,2,0)</f>
        <v>#N/A</v>
      </c>
      <c r="H380" s="1"/>
    </row>
    <row r="381" spans="1:8" hidden="1" x14ac:dyDescent="0.25">
      <c r="A381" s="1"/>
      <c r="B381" s="4"/>
      <c r="C381" s="1"/>
      <c r="D381" s="1"/>
      <c r="E381" t="e">
        <f>VLOOKUP(Table_query3[[#This Row],[Metrics]],Metrics!A:C,3,0)</f>
        <v>#N/A</v>
      </c>
      <c r="F381" t="e">
        <f>VLOOKUP(Table_query3[[#This Row],[Metrics]],Metrics!A:C,2,0)</f>
        <v>#N/A</v>
      </c>
      <c r="H381" s="1"/>
    </row>
    <row r="382" spans="1:8" hidden="1" x14ac:dyDescent="0.25">
      <c r="A382" s="1"/>
      <c r="B382" s="4"/>
      <c r="C382" s="1"/>
      <c r="D382" s="1"/>
      <c r="E382" t="e">
        <f>VLOOKUP(Table_query3[[#This Row],[Metrics]],Metrics!A:C,3,0)</f>
        <v>#N/A</v>
      </c>
      <c r="F382" t="e">
        <f>VLOOKUP(Table_query3[[#This Row],[Metrics]],Metrics!A:C,2,0)</f>
        <v>#N/A</v>
      </c>
      <c r="H382" s="1"/>
    </row>
    <row r="383" spans="1:8" hidden="1" x14ac:dyDescent="0.25">
      <c r="A383" s="1"/>
      <c r="B383" s="4"/>
      <c r="C383" s="1"/>
      <c r="D383" s="1"/>
      <c r="E383" t="e">
        <f>VLOOKUP(Table_query3[[#This Row],[Metrics]],Metrics!A:C,3,0)</f>
        <v>#N/A</v>
      </c>
      <c r="F383" t="e">
        <f>VLOOKUP(Table_query3[[#This Row],[Metrics]],Metrics!A:C,2,0)</f>
        <v>#N/A</v>
      </c>
      <c r="H383" s="1"/>
    </row>
    <row r="384" spans="1:8" hidden="1" x14ac:dyDescent="0.25">
      <c r="A384" s="1"/>
      <c r="B384" s="4"/>
      <c r="C384" s="1"/>
      <c r="D384" s="1"/>
      <c r="E384" t="e">
        <f>VLOOKUP(Table_query3[[#This Row],[Metrics]],Metrics!A:C,3,0)</f>
        <v>#N/A</v>
      </c>
      <c r="F384" t="e">
        <f>VLOOKUP(Table_query3[[#This Row],[Metrics]],Metrics!A:C,2,0)</f>
        <v>#N/A</v>
      </c>
      <c r="H384" s="1"/>
    </row>
    <row r="385" spans="1:8" hidden="1" x14ac:dyDescent="0.25">
      <c r="A385" s="1"/>
      <c r="B385" s="4"/>
      <c r="C385" s="1"/>
      <c r="D385" s="1"/>
      <c r="E385" t="e">
        <f>VLOOKUP(Table_query3[[#This Row],[Metrics]],Metrics!A:C,3,0)</f>
        <v>#N/A</v>
      </c>
      <c r="F385" t="e">
        <f>VLOOKUP(Table_query3[[#This Row],[Metrics]],Metrics!A:C,2,0)</f>
        <v>#N/A</v>
      </c>
      <c r="H385" s="1"/>
    </row>
    <row r="386" spans="1:8" hidden="1" x14ac:dyDescent="0.25">
      <c r="A386" s="1"/>
      <c r="B386" s="4"/>
      <c r="C386" s="1"/>
      <c r="D386" s="1"/>
      <c r="E386" t="e">
        <f>VLOOKUP(Table_query3[[#This Row],[Metrics]],Metrics!A:C,3,0)</f>
        <v>#N/A</v>
      </c>
      <c r="F386" t="e">
        <f>VLOOKUP(Table_query3[[#This Row],[Metrics]],Metrics!A:C,2,0)</f>
        <v>#N/A</v>
      </c>
      <c r="H386" s="1"/>
    </row>
    <row r="387" spans="1:8" hidden="1" x14ac:dyDescent="0.25">
      <c r="A387" s="1"/>
      <c r="B387" s="4"/>
      <c r="C387" s="1"/>
      <c r="D387" s="1"/>
      <c r="E387" t="e">
        <f>VLOOKUP(Table_query3[[#This Row],[Metrics]],Metrics!A:C,3,0)</f>
        <v>#N/A</v>
      </c>
      <c r="F387" t="e">
        <f>VLOOKUP(Table_query3[[#This Row],[Metrics]],Metrics!A:C,2,0)</f>
        <v>#N/A</v>
      </c>
      <c r="H387" s="1"/>
    </row>
    <row r="388" spans="1:8" hidden="1" x14ac:dyDescent="0.25">
      <c r="A388" s="1"/>
      <c r="B388" s="4"/>
      <c r="C388" s="1"/>
      <c r="D388" s="1"/>
      <c r="E388" t="e">
        <f>VLOOKUP(Table_query3[[#This Row],[Metrics]],Metrics!A:C,3,0)</f>
        <v>#N/A</v>
      </c>
      <c r="F388" t="e">
        <f>VLOOKUP(Table_query3[[#This Row],[Metrics]],Metrics!A:C,2,0)</f>
        <v>#N/A</v>
      </c>
      <c r="H388" s="1"/>
    </row>
    <row r="389" spans="1:8" hidden="1" x14ac:dyDescent="0.25">
      <c r="A389" s="1"/>
      <c r="B389" s="4"/>
      <c r="C389" s="1"/>
      <c r="D389" s="1"/>
      <c r="E389" t="e">
        <f>VLOOKUP(Table_query3[[#This Row],[Metrics]],Metrics!A:C,3,0)</f>
        <v>#N/A</v>
      </c>
      <c r="F389" t="e">
        <f>VLOOKUP(Table_query3[[#This Row],[Metrics]],Metrics!A:C,2,0)</f>
        <v>#N/A</v>
      </c>
      <c r="H389" s="1"/>
    </row>
    <row r="390" spans="1:8" hidden="1" x14ac:dyDescent="0.25">
      <c r="A390" s="1"/>
      <c r="B390" s="4"/>
      <c r="C390" s="1"/>
      <c r="D390" s="1"/>
      <c r="E390" t="e">
        <f>VLOOKUP(Table_query3[[#This Row],[Metrics]],Metrics!A:C,3,0)</f>
        <v>#N/A</v>
      </c>
      <c r="F390" t="e">
        <f>VLOOKUP(Table_query3[[#This Row],[Metrics]],Metrics!A:C,2,0)</f>
        <v>#N/A</v>
      </c>
      <c r="H390" s="1"/>
    </row>
    <row r="391" spans="1:8" hidden="1" x14ac:dyDescent="0.25">
      <c r="A391" s="1"/>
      <c r="B391" s="4"/>
      <c r="C391" s="1"/>
      <c r="D391" s="1"/>
      <c r="E391" t="e">
        <f>VLOOKUP(Table_query3[[#This Row],[Metrics]],Metrics!A:C,3,0)</f>
        <v>#N/A</v>
      </c>
      <c r="F391" t="e">
        <f>VLOOKUP(Table_query3[[#This Row],[Metrics]],Metrics!A:C,2,0)</f>
        <v>#N/A</v>
      </c>
      <c r="H391" s="1"/>
    </row>
    <row r="392" spans="1:8" hidden="1" x14ac:dyDescent="0.25">
      <c r="A392" s="1"/>
      <c r="B392" s="4"/>
      <c r="C392" s="1"/>
      <c r="D392" s="1"/>
      <c r="E392" t="e">
        <f>VLOOKUP(Table_query3[[#This Row],[Metrics]],Metrics!A:C,3,0)</f>
        <v>#N/A</v>
      </c>
      <c r="F392" t="e">
        <f>VLOOKUP(Table_query3[[#This Row],[Metrics]],Metrics!A:C,2,0)</f>
        <v>#N/A</v>
      </c>
      <c r="H392" s="1"/>
    </row>
    <row r="393" spans="1:8" hidden="1" x14ac:dyDescent="0.25">
      <c r="A393" s="1"/>
      <c r="B393" s="4"/>
      <c r="C393" s="1"/>
      <c r="D393" s="1"/>
      <c r="E393" t="e">
        <f>VLOOKUP(Table_query3[[#This Row],[Metrics]],Metrics!A:C,3,0)</f>
        <v>#N/A</v>
      </c>
      <c r="F393" t="e">
        <f>VLOOKUP(Table_query3[[#This Row],[Metrics]],Metrics!A:C,2,0)</f>
        <v>#N/A</v>
      </c>
      <c r="H393" s="1"/>
    </row>
    <row r="394" spans="1:8" hidden="1" x14ac:dyDescent="0.25">
      <c r="A394" s="1"/>
      <c r="B394" s="4"/>
      <c r="C394" s="1"/>
      <c r="D394" s="1"/>
      <c r="E394" t="e">
        <f>VLOOKUP(Table_query3[[#This Row],[Metrics]],Metrics!A:C,3,0)</f>
        <v>#N/A</v>
      </c>
      <c r="F394" t="e">
        <f>VLOOKUP(Table_query3[[#This Row],[Metrics]],Metrics!A:C,2,0)</f>
        <v>#N/A</v>
      </c>
      <c r="H394" s="1"/>
    </row>
    <row r="395" spans="1:8" hidden="1" x14ac:dyDescent="0.25">
      <c r="A395" s="1"/>
      <c r="B395" s="4"/>
      <c r="C395" s="1"/>
      <c r="D395" s="1"/>
      <c r="E395" t="e">
        <f>VLOOKUP(Table_query3[[#This Row],[Metrics]],Metrics!A:C,3,0)</f>
        <v>#N/A</v>
      </c>
      <c r="F395" t="e">
        <f>VLOOKUP(Table_query3[[#This Row],[Metrics]],Metrics!A:C,2,0)</f>
        <v>#N/A</v>
      </c>
      <c r="H395" s="1"/>
    </row>
    <row r="396" spans="1:8" hidden="1" x14ac:dyDescent="0.25">
      <c r="A396" s="1"/>
      <c r="B396" s="4"/>
      <c r="C396" s="1"/>
      <c r="D396" s="1"/>
      <c r="E396" t="e">
        <f>VLOOKUP(Table_query3[[#This Row],[Metrics]],Metrics!A:C,3,0)</f>
        <v>#N/A</v>
      </c>
      <c r="F396" t="e">
        <f>VLOOKUP(Table_query3[[#This Row],[Metrics]],Metrics!A:C,2,0)</f>
        <v>#N/A</v>
      </c>
      <c r="H396" s="1"/>
    </row>
    <row r="397" spans="1:8" hidden="1" x14ac:dyDescent="0.25">
      <c r="A397" s="1"/>
      <c r="B397" s="4"/>
      <c r="C397" s="1"/>
      <c r="D397" s="1"/>
      <c r="E397" t="e">
        <f>VLOOKUP(Table_query3[[#This Row],[Metrics]],Metrics!A:C,3,0)</f>
        <v>#N/A</v>
      </c>
      <c r="F397" t="e">
        <f>VLOOKUP(Table_query3[[#This Row],[Metrics]],Metrics!A:C,2,0)</f>
        <v>#N/A</v>
      </c>
      <c r="H397" s="1"/>
    </row>
    <row r="398" spans="1:8" hidden="1" x14ac:dyDescent="0.25">
      <c r="A398" s="1"/>
      <c r="B398" s="4"/>
      <c r="C398" s="1"/>
      <c r="D398" s="1"/>
      <c r="E398" t="e">
        <f>VLOOKUP(Table_query3[[#This Row],[Metrics]],Metrics!A:C,3,0)</f>
        <v>#N/A</v>
      </c>
      <c r="F398" t="e">
        <f>VLOOKUP(Table_query3[[#This Row],[Metrics]],Metrics!A:C,2,0)</f>
        <v>#N/A</v>
      </c>
      <c r="H398" s="1"/>
    </row>
    <row r="399" spans="1:8" hidden="1" x14ac:dyDescent="0.25">
      <c r="A399" s="1"/>
      <c r="B399" s="4"/>
      <c r="C399" s="1"/>
      <c r="D399" s="1"/>
      <c r="E399" t="e">
        <f>VLOOKUP(Table_query3[[#This Row],[Metrics]],Metrics!A:C,3,0)</f>
        <v>#N/A</v>
      </c>
      <c r="F399" t="e">
        <f>VLOOKUP(Table_query3[[#This Row],[Metrics]],Metrics!A:C,2,0)</f>
        <v>#N/A</v>
      </c>
      <c r="H399" s="1"/>
    </row>
    <row r="400" spans="1:8" hidden="1" x14ac:dyDescent="0.25">
      <c r="A400" s="1"/>
      <c r="B400" s="4"/>
      <c r="C400" s="1"/>
      <c r="D400" s="1"/>
      <c r="E400" t="e">
        <f>VLOOKUP(Table_query3[[#This Row],[Metrics]],Metrics!A:C,3,0)</f>
        <v>#N/A</v>
      </c>
      <c r="F400" t="e">
        <f>VLOOKUP(Table_query3[[#This Row],[Metrics]],Metrics!A:C,2,0)</f>
        <v>#N/A</v>
      </c>
      <c r="H400" s="1"/>
    </row>
    <row r="401" spans="1:8" hidden="1" x14ac:dyDescent="0.25">
      <c r="A401" s="1"/>
      <c r="B401" s="4"/>
      <c r="C401" s="1"/>
      <c r="D401" s="1"/>
      <c r="E401" t="e">
        <f>VLOOKUP(Table_query3[[#This Row],[Metrics]],Metrics!A:C,3,0)</f>
        <v>#N/A</v>
      </c>
      <c r="F401" t="e">
        <f>VLOOKUP(Table_query3[[#This Row],[Metrics]],Metrics!A:C,2,0)</f>
        <v>#N/A</v>
      </c>
      <c r="H401" s="1"/>
    </row>
    <row r="402" spans="1:8" hidden="1" x14ac:dyDescent="0.25">
      <c r="A402" s="1"/>
      <c r="B402" s="4"/>
      <c r="C402" s="1"/>
      <c r="D402" s="1"/>
      <c r="E402" t="e">
        <f>VLOOKUP(Table_query3[[#This Row],[Metrics]],Metrics!A:C,3,0)</f>
        <v>#N/A</v>
      </c>
      <c r="F402" t="e">
        <f>VLOOKUP(Table_query3[[#This Row],[Metrics]],Metrics!A:C,2,0)</f>
        <v>#N/A</v>
      </c>
      <c r="H402" s="1"/>
    </row>
    <row r="403" spans="1:8" hidden="1" x14ac:dyDescent="0.25">
      <c r="A403" s="1"/>
      <c r="B403" s="4"/>
      <c r="C403" s="1"/>
      <c r="D403" s="1"/>
      <c r="E403" t="e">
        <f>VLOOKUP(Table_query3[[#This Row],[Metrics]],Metrics!A:C,3,0)</f>
        <v>#N/A</v>
      </c>
      <c r="F403" t="e">
        <f>VLOOKUP(Table_query3[[#This Row],[Metrics]],Metrics!A:C,2,0)</f>
        <v>#N/A</v>
      </c>
      <c r="H403" s="1"/>
    </row>
    <row r="404" spans="1:8" hidden="1" x14ac:dyDescent="0.25">
      <c r="A404" s="1"/>
      <c r="B404" s="4"/>
      <c r="C404" s="1"/>
      <c r="D404" s="1"/>
      <c r="E404" t="e">
        <f>VLOOKUP(Table_query3[[#This Row],[Metrics]],Metrics!A:C,3,0)</f>
        <v>#N/A</v>
      </c>
      <c r="F404" t="e">
        <f>VLOOKUP(Table_query3[[#This Row],[Metrics]],Metrics!A:C,2,0)</f>
        <v>#N/A</v>
      </c>
      <c r="H404" s="1"/>
    </row>
    <row r="405" spans="1:8" hidden="1" x14ac:dyDescent="0.25">
      <c r="A405" s="1"/>
      <c r="B405" s="4"/>
      <c r="C405" s="1"/>
      <c r="D405" s="1"/>
      <c r="E405" t="e">
        <f>VLOOKUP(Table_query3[[#This Row],[Metrics]],Metrics!A:C,3,0)</f>
        <v>#N/A</v>
      </c>
      <c r="F405" t="e">
        <f>VLOOKUP(Table_query3[[#This Row],[Metrics]],Metrics!A:C,2,0)</f>
        <v>#N/A</v>
      </c>
      <c r="H405" s="1"/>
    </row>
    <row r="406" spans="1:8" hidden="1" x14ac:dyDescent="0.25">
      <c r="A406" s="1"/>
      <c r="B406" s="4"/>
      <c r="C406" s="1"/>
      <c r="D406" s="1"/>
      <c r="E406" t="e">
        <f>VLOOKUP(Table_query3[[#This Row],[Metrics]],Metrics!A:C,3,0)</f>
        <v>#N/A</v>
      </c>
      <c r="F406" t="e">
        <f>VLOOKUP(Table_query3[[#This Row],[Metrics]],Metrics!A:C,2,0)</f>
        <v>#N/A</v>
      </c>
      <c r="H406" s="1"/>
    </row>
    <row r="407" spans="1:8" hidden="1" x14ac:dyDescent="0.25">
      <c r="A407" s="1"/>
      <c r="B407" s="4"/>
      <c r="C407" s="1"/>
      <c r="D407" s="1"/>
      <c r="E407" t="e">
        <f>VLOOKUP(Table_query3[[#This Row],[Metrics]],Metrics!A:C,3,0)</f>
        <v>#N/A</v>
      </c>
      <c r="F407" t="e">
        <f>VLOOKUP(Table_query3[[#This Row],[Metrics]],Metrics!A:C,2,0)</f>
        <v>#N/A</v>
      </c>
      <c r="H407" s="1"/>
    </row>
    <row r="408" spans="1:8" hidden="1" x14ac:dyDescent="0.25">
      <c r="A408" s="1"/>
      <c r="B408" s="4"/>
      <c r="C408" s="1"/>
      <c r="D408" s="1"/>
      <c r="E408" t="e">
        <f>VLOOKUP(Table_query3[[#This Row],[Metrics]],Metrics!A:C,3,0)</f>
        <v>#N/A</v>
      </c>
      <c r="F408" t="e">
        <f>VLOOKUP(Table_query3[[#This Row],[Metrics]],Metrics!A:C,2,0)</f>
        <v>#N/A</v>
      </c>
      <c r="H408" s="1"/>
    </row>
    <row r="409" spans="1:8" hidden="1" x14ac:dyDescent="0.25">
      <c r="A409" s="1"/>
      <c r="B409" s="4"/>
      <c r="C409" s="1"/>
      <c r="D409" s="1"/>
      <c r="E409" t="e">
        <f>VLOOKUP(Table_query3[[#This Row],[Metrics]],Metrics!A:C,3,0)</f>
        <v>#N/A</v>
      </c>
      <c r="F409" t="e">
        <f>VLOOKUP(Table_query3[[#This Row],[Metrics]],Metrics!A:C,2,0)</f>
        <v>#N/A</v>
      </c>
      <c r="H409" s="1"/>
    </row>
    <row r="410" spans="1:8" hidden="1" x14ac:dyDescent="0.25">
      <c r="A410" s="1"/>
      <c r="B410" s="4"/>
      <c r="C410" s="1"/>
      <c r="D410" s="1"/>
      <c r="E410" t="e">
        <f>VLOOKUP(Table_query3[[#This Row],[Metrics]],Metrics!A:C,3,0)</f>
        <v>#N/A</v>
      </c>
      <c r="F410" t="e">
        <f>VLOOKUP(Table_query3[[#This Row],[Metrics]],Metrics!A:C,2,0)</f>
        <v>#N/A</v>
      </c>
      <c r="H410" s="1"/>
    </row>
    <row r="411" spans="1:8" hidden="1" x14ac:dyDescent="0.25">
      <c r="A411" s="1"/>
      <c r="B411" s="4"/>
      <c r="C411" s="1"/>
      <c r="D411" s="1"/>
      <c r="E411" t="e">
        <f>VLOOKUP(Table_query3[[#This Row],[Metrics]],Metrics!A:C,3,0)</f>
        <v>#N/A</v>
      </c>
      <c r="F411" t="e">
        <f>VLOOKUP(Table_query3[[#This Row],[Metrics]],Metrics!A:C,2,0)</f>
        <v>#N/A</v>
      </c>
      <c r="H411" s="1"/>
    </row>
    <row r="412" spans="1:8" hidden="1" x14ac:dyDescent="0.25">
      <c r="A412" s="1"/>
      <c r="B412" s="4"/>
      <c r="C412" s="1"/>
      <c r="D412" s="1"/>
      <c r="E412" t="e">
        <f>VLOOKUP(Table_query3[[#This Row],[Metrics]],Metrics!A:C,3,0)</f>
        <v>#N/A</v>
      </c>
      <c r="F412" t="e">
        <f>VLOOKUP(Table_query3[[#This Row],[Metrics]],Metrics!A:C,2,0)</f>
        <v>#N/A</v>
      </c>
      <c r="H412" s="1"/>
    </row>
    <row r="413" spans="1:8" hidden="1" x14ac:dyDescent="0.25">
      <c r="A413" s="1"/>
      <c r="B413" s="4"/>
      <c r="C413" s="1"/>
      <c r="D413" s="1"/>
      <c r="E413" t="e">
        <f>VLOOKUP(Table_query3[[#This Row],[Metrics]],Metrics!A:C,3,0)</f>
        <v>#N/A</v>
      </c>
      <c r="F413" t="e">
        <f>VLOOKUP(Table_query3[[#This Row],[Metrics]],Metrics!A:C,2,0)</f>
        <v>#N/A</v>
      </c>
      <c r="H413" s="1"/>
    </row>
    <row r="414" spans="1:8" hidden="1" x14ac:dyDescent="0.25">
      <c r="A414" s="1"/>
      <c r="B414" s="4"/>
      <c r="C414" s="1"/>
      <c r="D414" s="1"/>
      <c r="E414" t="e">
        <f>VLOOKUP(Table_query3[[#This Row],[Metrics]],Metrics!A:C,3,0)</f>
        <v>#N/A</v>
      </c>
      <c r="F414" t="e">
        <f>VLOOKUP(Table_query3[[#This Row],[Metrics]],Metrics!A:C,2,0)</f>
        <v>#N/A</v>
      </c>
      <c r="H414" s="1"/>
    </row>
    <row r="415" spans="1:8" hidden="1" x14ac:dyDescent="0.25">
      <c r="A415" s="1"/>
      <c r="B415" s="4"/>
      <c r="C415" s="1"/>
      <c r="D415" s="1"/>
      <c r="E415" t="e">
        <f>VLOOKUP(Table_query3[[#This Row],[Metrics]],Metrics!A:C,3,0)</f>
        <v>#N/A</v>
      </c>
      <c r="F415" t="e">
        <f>VLOOKUP(Table_query3[[#This Row],[Metrics]],Metrics!A:C,2,0)</f>
        <v>#N/A</v>
      </c>
      <c r="H415" s="1"/>
    </row>
    <row r="416" spans="1:8" hidden="1" x14ac:dyDescent="0.25">
      <c r="A416" s="1"/>
      <c r="B416" s="4"/>
      <c r="C416" s="1"/>
      <c r="D416" s="1"/>
      <c r="E416" t="e">
        <f>VLOOKUP(Table_query3[[#This Row],[Metrics]],Metrics!A:C,3,0)</f>
        <v>#N/A</v>
      </c>
      <c r="F416" t="e">
        <f>VLOOKUP(Table_query3[[#This Row],[Metrics]],Metrics!A:C,2,0)</f>
        <v>#N/A</v>
      </c>
      <c r="H416" s="1"/>
    </row>
    <row r="417" spans="1:8" hidden="1" x14ac:dyDescent="0.25">
      <c r="A417" s="1"/>
      <c r="B417" s="4"/>
      <c r="C417" s="1"/>
      <c r="D417" s="1"/>
      <c r="E417" t="e">
        <f>VLOOKUP(Table_query3[[#This Row],[Metrics]],Metrics!A:C,3,0)</f>
        <v>#N/A</v>
      </c>
      <c r="F417" t="e">
        <f>VLOOKUP(Table_query3[[#This Row],[Metrics]],Metrics!A:C,2,0)</f>
        <v>#N/A</v>
      </c>
      <c r="H417" s="1"/>
    </row>
    <row r="418" spans="1:8" hidden="1" x14ac:dyDescent="0.25">
      <c r="A418" s="1"/>
      <c r="B418" s="4"/>
      <c r="C418" s="1"/>
      <c r="D418" s="1"/>
      <c r="E418" t="e">
        <f>VLOOKUP(Table_query3[[#This Row],[Metrics]],Metrics!A:C,3,0)</f>
        <v>#N/A</v>
      </c>
      <c r="F418" t="e">
        <f>VLOOKUP(Table_query3[[#This Row],[Metrics]],Metrics!A:C,2,0)</f>
        <v>#N/A</v>
      </c>
      <c r="H418" s="1"/>
    </row>
    <row r="419" spans="1:8" hidden="1" x14ac:dyDescent="0.25">
      <c r="A419" s="1"/>
      <c r="B419" s="4"/>
      <c r="C419" s="1"/>
      <c r="D419" s="1"/>
      <c r="E419" t="e">
        <f>VLOOKUP(Table_query3[[#This Row],[Metrics]],Metrics!A:C,3,0)</f>
        <v>#N/A</v>
      </c>
      <c r="F419" t="e">
        <f>VLOOKUP(Table_query3[[#This Row],[Metrics]],Metrics!A:C,2,0)</f>
        <v>#N/A</v>
      </c>
      <c r="H419" s="1"/>
    </row>
    <row r="420" spans="1:8" hidden="1" x14ac:dyDescent="0.25">
      <c r="A420" s="1"/>
      <c r="B420" s="4"/>
      <c r="C420" s="1"/>
      <c r="D420" s="1"/>
      <c r="E420" t="e">
        <f>VLOOKUP(Table_query3[[#This Row],[Metrics]],Metrics!A:C,3,0)</f>
        <v>#N/A</v>
      </c>
      <c r="F420" t="e">
        <f>VLOOKUP(Table_query3[[#This Row],[Metrics]],Metrics!A:C,2,0)</f>
        <v>#N/A</v>
      </c>
      <c r="H420" s="1"/>
    </row>
    <row r="421" spans="1:8" hidden="1" x14ac:dyDescent="0.25">
      <c r="A421" s="1"/>
      <c r="B421" s="4"/>
      <c r="C421" s="1"/>
      <c r="D421" s="1"/>
      <c r="E421" t="e">
        <f>VLOOKUP(Table_query3[[#This Row],[Metrics]],Metrics!A:C,3,0)</f>
        <v>#N/A</v>
      </c>
      <c r="F421" t="e">
        <f>VLOOKUP(Table_query3[[#This Row],[Metrics]],Metrics!A:C,2,0)</f>
        <v>#N/A</v>
      </c>
      <c r="H421" s="1"/>
    </row>
    <row r="422" spans="1:8" hidden="1" x14ac:dyDescent="0.25">
      <c r="A422" s="1"/>
      <c r="B422" s="4"/>
      <c r="C422" s="1"/>
      <c r="D422" s="1"/>
      <c r="E422" t="e">
        <f>VLOOKUP(Table_query3[[#This Row],[Metrics]],Metrics!A:C,3,0)</f>
        <v>#N/A</v>
      </c>
      <c r="F422" t="e">
        <f>VLOOKUP(Table_query3[[#This Row],[Metrics]],Metrics!A:C,2,0)</f>
        <v>#N/A</v>
      </c>
      <c r="H422" s="1"/>
    </row>
    <row r="423" spans="1:8" hidden="1" x14ac:dyDescent="0.25">
      <c r="A423" s="1"/>
      <c r="B423" s="4"/>
      <c r="C423" s="1"/>
      <c r="D423" s="1"/>
      <c r="E423" t="e">
        <f>VLOOKUP(Table_query3[[#This Row],[Metrics]],Metrics!A:C,3,0)</f>
        <v>#N/A</v>
      </c>
      <c r="F423" t="e">
        <f>VLOOKUP(Table_query3[[#This Row],[Metrics]],Metrics!A:C,2,0)</f>
        <v>#N/A</v>
      </c>
      <c r="H423" s="1"/>
    </row>
    <row r="424" spans="1:8" hidden="1" x14ac:dyDescent="0.25">
      <c r="A424" s="1"/>
      <c r="B424" s="4"/>
      <c r="C424" s="1"/>
      <c r="D424" s="1"/>
      <c r="E424" t="e">
        <f>VLOOKUP(Table_query3[[#This Row],[Metrics]],Metrics!A:C,3,0)</f>
        <v>#N/A</v>
      </c>
      <c r="F424" t="e">
        <f>VLOOKUP(Table_query3[[#This Row],[Metrics]],Metrics!A:C,2,0)</f>
        <v>#N/A</v>
      </c>
      <c r="H424" s="1"/>
    </row>
    <row r="425" spans="1:8" hidden="1" x14ac:dyDescent="0.25">
      <c r="A425" s="1"/>
      <c r="B425" s="4"/>
      <c r="C425" s="1"/>
      <c r="D425" s="1"/>
      <c r="E425" t="e">
        <f>VLOOKUP(Table_query3[[#This Row],[Metrics]],Metrics!A:C,3,0)</f>
        <v>#N/A</v>
      </c>
      <c r="F425" t="e">
        <f>VLOOKUP(Table_query3[[#This Row],[Metrics]],Metrics!A:C,2,0)</f>
        <v>#N/A</v>
      </c>
      <c r="H425" s="1"/>
    </row>
    <row r="426" spans="1:8" hidden="1" x14ac:dyDescent="0.25">
      <c r="A426" s="1"/>
      <c r="B426" s="4"/>
      <c r="C426" s="1"/>
      <c r="D426" s="1"/>
      <c r="E426" t="e">
        <f>VLOOKUP(Table_query3[[#This Row],[Metrics]],Metrics!A:C,3,0)</f>
        <v>#N/A</v>
      </c>
      <c r="F426" t="e">
        <f>VLOOKUP(Table_query3[[#This Row],[Metrics]],Metrics!A:C,2,0)</f>
        <v>#N/A</v>
      </c>
      <c r="H426" s="1"/>
    </row>
    <row r="427" spans="1:8" hidden="1" x14ac:dyDescent="0.25">
      <c r="A427" s="1"/>
      <c r="B427" s="4"/>
      <c r="C427" s="1"/>
      <c r="D427" s="1"/>
      <c r="E427" t="e">
        <f>VLOOKUP(Table_query3[[#This Row],[Metrics]],Metrics!A:C,3,0)</f>
        <v>#N/A</v>
      </c>
      <c r="F427" t="e">
        <f>VLOOKUP(Table_query3[[#This Row],[Metrics]],Metrics!A:C,2,0)</f>
        <v>#N/A</v>
      </c>
      <c r="H427" s="1"/>
    </row>
    <row r="428" spans="1:8" hidden="1" x14ac:dyDescent="0.25">
      <c r="A428" s="1"/>
      <c r="B428" s="4"/>
      <c r="C428" s="1"/>
      <c r="D428" s="1"/>
      <c r="E428" t="e">
        <f>VLOOKUP(Table_query3[[#This Row],[Metrics]],Metrics!A:C,3,0)</f>
        <v>#N/A</v>
      </c>
      <c r="F428" t="e">
        <f>VLOOKUP(Table_query3[[#This Row],[Metrics]],Metrics!A:C,2,0)</f>
        <v>#N/A</v>
      </c>
      <c r="H428" s="1"/>
    </row>
    <row r="429" spans="1:8" hidden="1" x14ac:dyDescent="0.25">
      <c r="A429" s="1"/>
      <c r="B429" s="4"/>
      <c r="C429" s="1"/>
      <c r="D429" s="1"/>
      <c r="E429" t="e">
        <f>VLOOKUP(Table_query3[[#This Row],[Metrics]],Metrics!A:C,3,0)</f>
        <v>#N/A</v>
      </c>
      <c r="F429" t="e">
        <f>VLOOKUP(Table_query3[[#This Row],[Metrics]],Metrics!A:C,2,0)</f>
        <v>#N/A</v>
      </c>
      <c r="H429" s="1"/>
    </row>
    <row r="430" spans="1:8" hidden="1" x14ac:dyDescent="0.25">
      <c r="A430" s="1"/>
      <c r="B430" s="4"/>
      <c r="C430" s="1"/>
      <c r="D430" s="1"/>
      <c r="E430" t="e">
        <f>VLOOKUP(Table_query3[[#This Row],[Metrics]],Metrics!A:C,3,0)</f>
        <v>#N/A</v>
      </c>
      <c r="F430" t="e">
        <f>VLOOKUP(Table_query3[[#This Row],[Metrics]],Metrics!A:C,2,0)</f>
        <v>#N/A</v>
      </c>
      <c r="H430" s="1"/>
    </row>
    <row r="431" spans="1:8" hidden="1" x14ac:dyDescent="0.25">
      <c r="A431" s="1"/>
      <c r="B431" s="4"/>
      <c r="C431" s="1"/>
      <c r="D431" s="1"/>
      <c r="E431" t="e">
        <f>VLOOKUP(Table_query3[[#This Row],[Metrics]],Metrics!A:C,3,0)</f>
        <v>#N/A</v>
      </c>
      <c r="F431" t="e">
        <f>VLOOKUP(Table_query3[[#This Row],[Metrics]],Metrics!A:C,2,0)</f>
        <v>#N/A</v>
      </c>
      <c r="H431" s="1"/>
    </row>
    <row r="432" spans="1:8" hidden="1" x14ac:dyDescent="0.25">
      <c r="A432" s="1"/>
      <c r="B432" s="4"/>
      <c r="C432" s="1"/>
      <c r="D432" s="1"/>
      <c r="E432" t="e">
        <f>VLOOKUP(Table_query3[[#This Row],[Metrics]],Metrics!A:C,3,0)</f>
        <v>#N/A</v>
      </c>
      <c r="F432" t="e">
        <f>VLOOKUP(Table_query3[[#This Row],[Metrics]],Metrics!A:C,2,0)</f>
        <v>#N/A</v>
      </c>
      <c r="H432" s="1"/>
    </row>
    <row r="433" spans="1:8" hidden="1" x14ac:dyDescent="0.25">
      <c r="A433" s="1"/>
      <c r="B433" s="4"/>
      <c r="C433" s="1"/>
      <c r="D433" s="1"/>
      <c r="E433" t="e">
        <f>VLOOKUP(Table_query3[[#This Row],[Metrics]],Metrics!A:C,3,0)</f>
        <v>#N/A</v>
      </c>
      <c r="F433" t="e">
        <f>VLOOKUP(Table_query3[[#This Row],[Metrics]],Metrics!A:C,2,0)</f>
        <v>#N/A</v>
      </c>
      <c r="H433" s="1"/>
    </row>
    <row r="434" spans="1:8" hidden="1" x14ac:dyDescent="0.25">
      <c r="A434" s="1"/>
      <c r="B434" s="4"/>
      <c r="C434" s="1"/>
      <c r="D434" s="1"/>
      <c r="E434" t="e">
        <f>VLOOKUP(Table_query3[[#This Row],[Metrics]],Metrics!A:C,3,0)</f>
        <v>#N/A</v>
      </c>
      <c r="F434" t="e">
        <f>VLOOKUP(Table_query3[[#This Row],[Metrics]],Metrics!A:C,2,0)</f>
        <v>#N/A</v>
      </c>
      <c r="H434" s="1"/>
    </row>
    <row r="435" spans="1:8" hidden="1" x14ac:dyDescent="0.25">
      <c r="A435" s="1"/>
      <c r="B435" s="4"/>
      <c r="C435" s="1"/>
      <c r="D435" s="1"/>
      <c r="E435" t="e">
        <f>VLOOKUP(Table_query3[[#This Row],[Metrics]],Metrics!A:C,3,0)</f>
        <v>#N/A</v>
      </c>
      <c r="F435" t="e">
        <f>VLOOKUP(Table_query3[[#This Row],[Metrics]],Metrics!A:C,2,0)</f>
        <v>#N/A</v>
      </c>
      <c r="H435" s="1"/>
    </row>
    <row r="436" spans="1:8" hidden="1" x14ac:dyDescent="0.25">
      <c r="A436" s="1"/>
      <c r="B436" s="4"/>
      <c r="C436" s="1"/>
      <c r="D436" s="1"/>
      <c r="E436" t="e">
        <f>VLOOKUP(Table_query3[[#This Row],[Metrics]],Metrics!A:C,3,0)</f>
        <v>#N/A</v>
      </c>
      <c r="F436" t="e">
        <f>VLOOKUP(Table_query3[[#This Row],[Metrics]],Metrics!A:C,2,0)</f>
        <v>#N/A</v>
      </c>
      <c r="H436" s="1"/>
    </row>
    <row r="437" spans="1:8" hidden="1" x14ac:dyDescent="0.25">
      <c r="A437" s="1"/>
      <c r="B437" s="4"/>
      <c r="C437" s="1"/>
      <c r="D437" s="1"/>
      <c r="E437" t="e">
        <f>VLOOKUP(Table_query3[[#This Row],[Metrics]],Metrics!A:C,3,0)</f>
        <v>#N/A</v>
      </c>
      <c r="F437" t="e">
        <f>VLOOKUP(Table_query3[[#This Row],[Metrics]],Metrics!A:C,2,0)</f>
        <v>#N/A</v>
      </c>
      <c r="H437" s="1"/>
    </row>
    <row r="438" spans="1:8" hidden="1" x14ac:dyDescent="0.25">
      <c r="A438" s="1"/>
      <c r="B438" s="4"/>
      <c r="C438" s="1"/>
      <c r="D438" s="1"/>
      <c r="E438" t="e">
        <f>VLOOKUP(Table_query3[[#This Row],[Metrics]],Metrics!A:C,3,0)</f>
        <v>#N/A</v>
      </c>
      <c r="F438" t="e">
        <f>VLOOKUP(Table_query3[[#This Row],[Metrics]],Metrics!A:C,2,0)</f>
        <v>#N/A</v>
      </c>
      <c r="H438" s="1"/>
    </row>
    <row r="439" spans="1:8" hidden="1" x14ac:dyDescent="0.25">
      <c r="A439" s="1"/>
      <c r="B439" s="4"/>
      <c r="C439" s="1"/>
      <c r="D439" s="1"/>
      <c r="E439" t="e">
        <f>VLOOKUP(Table_query3[[#This Row],[Metrics]],Metrics!A:C,3,0)</f>
        <v>#N/A</v>
      </c>
      <c r="F439" t="e">
        <f>VLOOKUP(Table_query3[[#This Row],[Metrics]],Metrics!A:C,2,0)</f>
        <v>#N/A</v>
      </c>
      <c r="H439" s="1"/>
    </row>
    <row r="440" spans="1:8" hidden="1" x14ac:dyDescent="0.25">
      <c r="A440" s="1"/>
      <c r="B440" s="4"/>
      <c r="C440" s="1"/>
      <c r="D440" s="1"/>
      <c r="E440" t="e">
        <f>VLOOKUP(Table_query3[[#This Row],[Metrics]],Metrics!A:C,3,0)</f>
        <v>#N/A</v>
      </c>
      <c r="F440" t="e">
        <f>VLOOKUP(Table_query3[[#This Row],[Metrics]],Metrics!A:C,2,0)</f>
        <v>#N/A</v>
      </c>
      <c r="H440" s="1"/>
    </row>
    <row r="441" spans="1:8" hidden="1" x14ac:dyDescent="0.25">
      <c r="A441" s="1"/>
      <c r="B441" s="4"/>
      <c r="C441" s="1"/>
      <c r="D441" s="1"/>
      <c r="E441" t="e">
        <f>VLOOKUP(Table_query3[[#This Row],[Metrics]],Metrics!A:C,3,0)</f>
        <v>#N/A</v>
      </c>
      <c r="F441" t="e">
        <f>VLOOKUP(Table_query3[[#This Row],[Metrics]],Metrics!A:C,2,0)</f>
        <v>#N/A</v>
      </c>
      <c r="H441" s="1"/>
    </row>
    <row r="442" spans="1:8" hidden="1" x14ac:dyDescent="0.25">
      <c r="A442" s="1"/>
      <c r="B442" s="4"/>
      <c r="C442" s="1"/>
      <c r="D442" s="1"/>
      <c r="E442" t="e">
        <f>VLOOKUP(Table_query3[[#This Row],[Metrics]],Metrics!A:C,3,0)</f>
        <v>#N/A</v>
      </c>
      <c r="F442" t="e">
        <f>VLOOKUP(Table_query3[[#This Row],[Metrics]],Metrics!A:C,2,0)</f>
        <v>#N/A</v>
      </c>
      <c r="H442" s="1"/>
    </row>
    <row r="443" spans="1:8" hidden="1" x14ac:dyDescent="0.25">
      <c r="A443" s="1"/>
      <c r="B443" s="4"/>
      <c r="C443" s="1"/>
      <c r="D443" s="1"/>
      <c r="E443" t="e">
        <f>VLOOKUP(Table_query3[[#This Row],[Metrics]],Metrics!A:C,3,0)</f>
        <v>#N/A</v>
      </c>
      <c r="F443" t="e">
        <f>VLOOKUP(Table_query3[[#This Row],[Metrics]],Metrics!A:C,2,0)</f>
        <v>#N/A</v>
      </c>
      <c r="H443" s="1"/>
    </row>
    <row r="444" spans="1:8" hidden="1" x14ac:dyDescent="0.25">
      <c r="A444" s="1"/>
      <c r="B444" s="4"/>
      <c r="C444" s="1"/>
      <c r="D444" s="1"/>
      <c r="E444" t="e">
        <f>VLOOKUP(Table_query3[[#This Row],[Metrics]],Metrics!A:C,3,0)</f>
        <v>#N/A</v>
      </c>
      <c r="F444" t="e">
        <f>VLOOKUP(Table_query3[[#This Row],[Metrics]],Metrics!A:C,2,0)</f>
        <v>#N/A</v>
      </c>
      <c r="H444" s="1"/>
    </row>
    <row r="445" spans="1:8" hidden="1" x14ac:dyDescent="0.25">
      <c r="A445" s="1"/>
      <c r="B445" s="4"/>
      <c r="C445" s="1"/>
      <c r="D445" s="1"/>
      <c r="E445" t="e">
        <f>VLOOKUP(Table_query3[[#This Row],[Metrics]],Metrics!A:C,3,0)</f>
        <v>#N/A</v>
      </c>
      <c r="F445" t="e">
        <f>VLOOKUP(Table_query3[[#This Row],[Metrics]],Metrics!A:C,2,0)</f>
        <v>#N/A</v>
      </c>
      <c r="H445" s="1"/>
    </row>
    <row r="446" spans="1:8" hidden="1" x14ac:dyDescent="0.25">
      <c r="A446" s="1"/>
      <c r="B446" s="4"/>
      <c r="C446" s="1"/>
      <c r="D446" s="1"/>
      <c r="E446" t="e">
        <f>VLOOKUP(Table_query3[[#This Row],[Metrics]],Metrics!A:C,3,0)</f>
        <v>#N/A</v>
      </c>
      <c r="F446" t="e">
        <f>VLOOKUP(Table_query3[[#This Row],[Metrics]],Metrics!A:C,2,0)</f>
        <v>#N/A</v>
      </c>
      <c r="H446" s="1"/>
    </row>
    <row r="447" spans="1:8" hidden="1" x14ac:dyDescent="0.25">
      <c r="A447" s="1"/>
      <c r="B447" s="4"/>
      <c r="C447" s="1"/>
      <c r="D447" s="1"/>
      <c r="E447" t="e">
        <f>VLOOKUP(Table_query3[[#This Row],[Metrics]],Metrics!A:C,3,0)</f>
        <v>#N/A</v>
      </c>
      <c r="F447" t="e">
        <f>VLOOKUP(Table_query3[[#This Row],[Metrics]],Metrics!A:C,2,0)</f>
        <v>#N/A</v>
      </c>
      <c r="H447" s="1"/>
    </row>
    <row r="448" spans="1:8" hidden="1" x14ac:dyDescent="0.25">
      <c r="A448" s="1"/>
      <c r="B448" s="4"/>
      <c r="C448" s="1"/>
      <c r="D448" s="1"/>
      <c r="E448" t="e">
        <f>VLOOKUP(Table_query3[[#This Row],[Metrics]],Metrics!A:C,3,0)</f>
        <v>#N/A</v>
      </c>
      <c r="F448" t="e">
        <f>VLOOKUP(Table_query3[[#This Row],[Metrics]],Metrics!A:C,2,0)</f>
        <v>#N/A</v>
      </c>
      <c r="H448" s="1"/>
    </row>
    <row r="449" spans="1:8" hidden="1" x14ac:dyDescent="0.25">
      <c r="A449" s="1"/>
      <c r="B449" s="4"/>
      <c r="C449" s="1"/>
      <c r="D449" s="1"/>
      <c r="E449" t="e">
        <f>VLOOKUP(Table_query3[[#This Row],[Metrics]],Metrics!A:C,3,0)</f>
        <v>#N/A</v>
      </c>
      <c r="F449" t="e">
        <f>VLOOKUP(Table_query3[[#This Row],[Metrics]],Metrics!A:C,2,0)</f>
        <v>#N/A</v>
      </c>
      <c r="H449" s="1"/>
    </row>
    <row r="450" spans="1:8" hidden="1" x14ac:dyDescent="0.25">
      <c r="A450" s="1"/>
      <c r="B450" s="4"/>
      <c r="C450" s="1"/>
      <c r="D450" s="1"/>
      <c r="E450" t="e">
        <f>VLOOKUP(Table_query3[[#This Row],[Metrics]],Metrics!A:C,3,0)</f>
        <v>#N/A</v>
      </c>
      <c r="F450" t="e">
        <f>VLOOKUP(Table_query3[[#This Row],[Metrics]],Metrics!A:C,2,0)</f>
        <v>#N/A</v>
      </c>
      <c r="H450" s="1"/>
    </row>
    <row r="451" spans="1:8" hidden="1" x14ac:dyDescent="0.25">
      <c r="A451" s="1"/>
      <c r="B451" s="4"/>
      <c r="C451" s="1"/>
      <c r="D451" s="1"/>
      <c r="E451" t="e">
        <f>VLOOKUP(Table_query3[[#This Row],[Metrics]],Metrics!A:C,3,0)</f>
        <v>#N/A</v>
      </c>
      <c r="F451" t="e">
        <f>VLOOKUP(Table_query3[[#This Row],[Metrics]],Metrics!A:C,2,0)</f>
        <v>#N/A</v>
      </c>
      <c r="H451" s="1"/>
    </row>
    <row r="452" spans="1:8" hidden="1" x14ac:dyDescent="0.25">
      <c r="A452" s="1"/>
      <c r="B452" s="4"/>
      <c r="C452" s="1"/>
      <c r="D452" s="1"/>
      <c r="E452" t="e">
        <f>VLOOKUP(Table_query3[[#This Row],[Metrics]],Metrics!A:C,3,0)</f>
        <v>#N/A</v>
      </c>
      <c r="F452" t="e">
        <f>VLOOKUP(Table_query3[[#This Row],[Metrics]],Metrics!A:C,2,0)</f>
        <v>#N/A</v>
      </c>
      <c r="H452" s="1"/>
    </row>
    <row r="453" spans="1:8" hidden="1" x14ac:dyDescent="0.25">
      <c r="A453" s="1"/>
      <c r="B453" s="4"/>
      <c r="C453" s="1"/>
      <c r="D453" s="1"/>
      <c r="E453" t="e">
        <f>VLOOKUP(Table_query3[[#This Row],[Metrics]],Metrics!A:C,3,0)</f>
        <v>#N/A</v>
      </c>
      <c r="F453" t="e">
        <f>VLOOKUP(Table_query3[[#This Row],[Metrics]],Metrics!A:C,2,0)</f>
        <v>#N/A</v>
      </c>
      <c r="H453" s="1"/>
    </row>
    <row r="454" spans="1:8" hidden="1" x14ac:dyDescent="0.25">
      <c r="A454" s="1"/>
      <c r="B454" s="4"/>
      <c r="C454" s="1"/>
      <c r="D454" s="1"/>
      <c r="E454" t="e">
        <f>VLOOKUP(Table_query3[[#This Row],[Metrics]],Metrics!A:C,3,0)</f>
        <v>#N/A</v>
      </c>
      <c r="F454" t="e">
        <f>VLOOKUP(Table_query3[[#This Row],[Metrics]],Metrics!A:C,2,0)</f>
        <v>#N/A</v>
      </c>
      <c r="H454" s="1"/>
    </row>
    <row r="455" spans="1:8" hidden="1" x14ac:dyDescent="0.25">
      <c r="A455" s="1"/>
      <c r="B455" s="4"/>
      <c r="C455" s="1"/>
      <c r="D455" s="1"/>
      <c r="E455" t="e">
        <f>VLOOKUP(Table_query3[[#This Row],[Metrics]],Metrics!A:C,3,0)</f>
        <v>#N/A</v>
      </c>
      <c r="F455" t="e">
        <f>VLOOKUP(Table_query3[[#This Row],[Metrics]],Metrics!A:C,2,0)</f>
        <v>#N/A</v>
      </c>
      <c r="H455" s="1"/>
    </row>
    <row r="456" spans="1:8" hidden="1" x14ac:dyDescent="0.25">
      <c r="A456" s="1"/>
      <c r="B456" s="4"/>
      <c r="C456" s="1"/>
      <c r="D456" s="1"/>
      <c r="E456" t="e">
        <f>VLOOKUP(Table_query3[[#This Row],[Metrics]],Metrics!A:C,3,0)</f>
        <v>#N/A</v>
      </c>
      <c r="F456" t="e">
        <f>VLOOKUP(Table_query3[[#This Row],[Metrics]],Metrics!A:C,2,0)</f>
        <v>#N/A</v>
      </c>
      <c r="H456" s="1"/>
    </row>
    <row r="457" spans="1:8" hidden="1" x14ac:dyDescent="0.25">
      <c r="A457" s="1"/>
      <c r="B457" s="4"/>
      <c r="C457" s="1"/>
      <c r="D457" s="1"/>
      <c r="E457" t="e">
        <f>VLOOKUP(Table_query3[[#This Row],[Metrics]],Metrics!A:C,3,0)</f>
        <v>#N/A</v>
      </c>
      <c r="F457" t="e">
        <f>VLOOKUP(Table_query3[[#This Row],[Metrics]],Metrics!A:C,2,0)</f>
        <v>#N/A</v>
      </c>
      <c r="H457" s="1"/>
    </row>
    <row r="458" spans="1:8" hidden="1" x14ac:dyDescent="0.25">
      <c r="A458" s="1"/>
      <c r="B458" s="4"/>
      <c r="C458" s="1"/>
      <c r="D458" s="1"/>
      <c r="E458" t="e">
        <f>VLOOKUP(Table_query3[[#This Row],[Metrics]],Metrics!A:C,3,0)</f>
        <v>#N/A</v>
      </c>
      <c r="F458" t="e">
        <f>VLOOKUP(Table_query3[[#This Row],[Metrics]],Metrics!A:C,2,0)</f>
        <v>#N/A</v>
      </c>
      <c r="H458" s="1"/>
    </row>
    <row r="459" spans="1:8" hidden="1" x14ac:dyDescent="0.25">
      <c r="A459" s="1"/>
      <c r="B459" s="4"/>
      <c r="C459" s="1"/>
      <c r="D459" s="1"/>
      <c r="E459" t="e">
        <f>VLOOKUP(Table_query3[[#This Row],[Metrics]],Metrics!A:C,3,0)</f>
        <v>#N/A</v>
      </c>
      <c r="F459" t="e">
        <f>VLOOKUP(Table_query3[[#This Row],[Metrics]],Metrics!A:C,2,0)</f>
        <v>#N/A</v>
      </c>
      <c r="H459" s="1"/>
    </row>
    <row r="460" spans="1:8" hidden="1" x14ac:dyDescent="0.25">
      <c r="A460" s="1"/>
      <c r="B460" s="4"/>
      <c r="C460" s="1"/>
      <c r="D460" s="1"/>
      <c r="E460" t="e">
        <f>VLOOKUP(Table_query3[[#This Row],[Metrics]],Metrics!A:C,3,0)</f>
        <v>#N/A</v>
      </c>
      <c r="F460" t="e">
        <f>VLOOKUP(Table_query3[[#This Row],[Metrics]],Metrics!A:C,2,0)</f>
        <v>#N/A</v>
      </c>
      <c r="H460" s="1"/>
    </row>
    <row r="461" spans="1:8" hidden="1" x14ac:dyDescent="0.25">
      <c r="A461" s="1"/>
      <c r="B461" s="4"/>
      <c r="C461" s="1"/>
      <c r="D461" s="1"/>
      <c r="E461" t="e">
        <f>VLOOKUP(Table_query3[[#This Row],[Metrics]],Metrics!A:C,3,0)</f>
        <v>#N/A</v>
      </c>
      <c r="F461" t="e">
        <f>VLOOKUP(Table_query3[[#This Row],[Metrics]],Metrics!A:C,2,0)</f>
        <v>#N/A</v>
      </c>
      <c r="H461" s="1"/>
    </row>
    <row r="462" spans="1:8" hidden="1" x14ac:dyDescent="0.25">
      <c r="A462" s="1"/>
      <c r="B462" s="4"/>
      <c r="C462" s="1"/>
      <c r="D462" s="1"/>
      <c r="E462" t="e">
        <f>VLOOKUP(Table_query3[[#This Row],[Metrics]],Metrics!A:C,3,0)</f>
        <v>#N/A</v>
      </c>
      <c r="F462" t="e">
        <f>VLOOKUP(Table_query3[[#This Row],[Metrics]],Metrics!A:C,2,0)</f>
        <v>#N/A</v>
      </c>
      <c r="H462" s="1"/>
    </row>
    <row r="463" spans="1:8" hidden="1" x14ac:dyDescent="0.25">
      <c r="A463" s="1"/>
      <c r="B463" s="4"/>
      <c r="C463" s="1"/>
      <c r="D463" s="1"/>
      <c r="E463" t="e">
        <f>VLOOKUP(Table_query3[[#This Row],[Metrics]],Metrics!A:C,3,0)</f>
        <v>#N/A</v>
      </c>
      <c r="F463" t="e">
        <f>VLOOKUP(Table_query3[[#This Row],[Metrics]],Metrics!A:C,2,0)</f>
        <v>#N/A</v>
      </c>
      <c r="H463" s="1"/>
    </row>
    <row r="464" spans="1:8" hidden="1" x14ac:dyDescent="0.25">
      <c r="A464" s="1"/>
      <c r="B464" s="4"/>
      <c r="C464" s="1"/>
      <c r="D464" s="1"/>
      <c r="E464" t="e">
        <f>VLOOKUP(Table_query3[[#This Row],[Metrics]],Metrics!A:C,3,0)</f>
        <v>#N/A</v>
      </c>
      <c r="F464" t="e">
        <f>VLOOKUP(Table_query3[[#This Row],[Metrics]],Metrics!A:C,2,0)</f>
        <v>#N/A</v>
      </c>
      <c r="H464" s="1"/>
    </row>
    <row r="465" spans="1:8" hidden="1" x14ac:dyDescent="0.25">
      <c r="A465" s="1"/>
      <c r="B465" s="4"/>
      <c r="C465" s="1"/>
      <c r="D465" s="1"/>
      <c r="E465" t="e">
        <f>VLOOKUP(Table_query3[[#This Row],[Metrics]],Metrics!A:C,3,0)</f>
        <v>#N/A</v>
      </c>
      <c r="F465" t="e">
        <f>VLOOKUP(Table_query3[[#This Row],[Metrics]],Metrics!A:C,2,0)</f>
        <v>#N/A</v>
      </c>
      <c r="H465" s="1"/>
    </row>
    <row r="466" spans="1:8" hidden="1" x14ac:dyDescent="0.25">
      <c r="A466" s="1"/>
      <c r="B466" s="4"/>
      <c r="C466" s="1"/>
      <c r="D466" s="1"/>
      <c r="E466" t="e">
        <f>VLOOKUP(Table_query3[[#This Row],[Metrics]],Metrics!A:C,3,0)</f>
        <v>#N/A</v>
      </c>
      <c r="F466" t="e">
        <f>VLOOKUP(Table_query3[[#This Row],[Metrics]],Metrics!A:C,2,0)</f>
        <v>#N/A</v>
      </c>
      <c r="H466" s="1"/>
    </row>
    <row r="467" spans="1:8" hidden="1" x14ac:dyDescent="0.25">
      <c r="A467" s="1"/>
      <c r="B467" s="4"/>
      <c r="C467" s="1"/>
      <c r="D467" s="1"/>
      <c r="E467" t="e">
        <f>VLOOKUP(Table_query3[[#This Row],[Metrics]],Metrics!A:C,3,0)</f>
        <v>#N/A</v>
      </c>
      <c r="F467" t="e">
        <f>VLOOKUP(Table_query3[[#This Row],[Metrics]],Metrics!A:C,2,0)</f>
        <v>#N/A</v>
      </c>
      <c r="H467" s="1"/>
    </row>
    <row r="468" spans="1:8" hidden="1" x14ac:dyDescent="0.25">
      <c r="A468" s="1"/>
      <c r="B468" s="4"/>
      <c r="C468" s="1"/>
      <c r="D468" s="1"/>
      <c r="E468" t="e">
        <f>VLOOKUP(Table_query3[[#This Row],[Metrics]],Metrics!A:C,3,0)</f>
        <v>#N/A</v>
      </c>
      <c r="F468" t="e">
        <f>VLOOKUP(Table_query3[[#This Row],[Metrics]],Metrics!A:C,2,0)</f>
        <v>#N/A</v>
      </c>
      <c r="H468" s="1"/>
    </row>
    <row r="469" spans="1:8" hidden="1" x14ac:dyDescent="0.25">
      <c r="A469" s="1"/>
      <c r="B469" s="4"/>
      <c r="C469" s="1"/>
      <c r="D469" s="1"/>
      <c r="E469" t="e">
        <f>VLOOKUP(Table_query3[[#This Row],[Metrics]],Metrics!A:C,3,0)</f>
        <v>#N/A</v>
      </c>
      <c r="F469" t="e">
        <f>VLOOKUP(Table_query3[[#This Row],[Metrics]],Metrics!A:C,2,0)</f>
        <v>#N/A</v>
      </c>
      <c r="H469" s="1"/>
    </row>
    <row r="470" spans="1:8" hidden="1" x14ac:dyDescent="0.25">
      <c r="A470" s="1"/>
      <c r="B470" s="4"/>
      <c r="C470" s="1"/>
      <c r="D470" s="1"/>
      <c r="E470" t="e">
        <f>VLOOKUP(Table_query3[[#This Row],[Metrics]],Metrics!A:C,3,0)</f>
        <v>#N/A</v>
      </c>
      <c r="F470" t="e">
        <f>VLOOKUP(Table_query3[[#This Row],[Metrics]],Metrics!A:C,2,0)</f>
        <v>#N/A</v>
      </c>
      <c r="H470" s="1"/>
    </row>
    <row r="471" spans="1:8" hidden="1" x14ac:dyDescent="0.25">
      <c r="A471" s="1"/>
      <c r="B471" s="4"/>
      <c r="C471" s="1"/>
      <c r="D471" s="1"/>
      <c r="E471" t="e">
        <f>VLOOKUP(Table_query3[[#This Row],[Metrics]],Metrics!A:C,3,0)</f>
        <v>#N/A</v>
      </c>
      <c r="F471" t="e">
        <f>VLOOKUP(Table_query3[[#This Row],[Metrics]],Metrics!A:C,2,0)</f>
        <v>#N/A</v>
      </c>
      <c r="H471" s="1"/>
    </row>
    <row r="472" spans="1:8" hidden="1" x14ac:dyDescent="0.25">
      <c r="A472" s="1"/>
      <c r="B472" s="4"/>
      <c r="C472" s="1"/>
      <c r="D472" s="1"/>
      <c r="E472" t="e">
        <f>VLOOKUP(Table_query3[[#This Row],[Metrics]],Metrics!A:C,3,0)</f>
        <v>#N/A</v>
      </c>
      <c r="F472" t="e">
        <f>VLOOKUP(Table_query3[[#This Row],[Metrics]],Metrics!A:C,2,0)</f>
        <v>#N/A</v>
      </c>
      <c r="H472" s="1"/>
    </row>
    <row r="473" spans="1:8" hidden="1" x14ac:dyDescent="0.25">
      <c r="A473" s="1"/>
      <c r="B473" s="4"/>
      <c r="C473" s="1"/>
      <c r="D473" s="1"/>
      <c r="E473" t="e">
        <f>VLOOKUP(Table_query3[[#This Row],[Metrics]],Metrics!A:C,3,0)</f>
        <v>#N/A</v>
      </c>
      <c r="F473" t="e">
        <f>VLOOKUP(Table_query3[[#This Row],[Metrics]],Metrics!A:C,2,0)</f>
        <v>#N/A</v>
      </c>
      <c r="H473" s="1"/>
    </row>
    <row r="474" spans="1:8" hidden="1" x14ac:dyDescent="0.25">
      <c r="A474" s="1"/>
      <c r="B474" s="4"/>
      <c r="C474" s="1"/>
      <c r="D474" s="1"/>
      <c r="E474" t="e">
        <f>VLOOKUP(Table_query3[[#This Row],[Metrics]],Metrics!A:C,3,0)</f>
        <v>#N/A</v>
      </c>
      <c r="F474" t="e">
        <f>VLOOKUP(Table_query3[[#This Row],[Metrics]],Metrics!A:C,2,0)</f>
        <v>#N/A</v>
      </c>
      <c r="H474" s="1"/>
    </row>
    <row r="475" spans="1:8" hidden="1" x14ac:dyDescent="0.25">
      <c r="A475" s="1"/>
      <c r="B475" s="4"/>
      <c r="C475" s="1"/>
      <c r="D475" s="1"/>
      <c r="E475" t="e">
        <f>VLOOKUP(Table_query3[[#This Row],[Metrics]],Metrics!A:C,3,0)</f>
        <v>#N/A</v>
      </c>
      <c r="F475" t="e">
        <f>VLOOKUP(Table_query3[[#This Row],[Metrics]],Metrics!A:C,2,0)</f>
        <v>#N/A</v>
      </c>
      <c r="H475" s="1"/>
    </row>
    <row r="476" spans="1:8" hidden="1" x14ac:dyDescent="0.25">
      <c r="A476" s="1"/>
      <c r="B476" s="4"/>
      <c r="C476" s="1"/>
      <c r="D476" s="1"/>
      <c r="E476" t="e">
        <f>VLOOKUP(Table_query3[[#This Row],[Metrics]],Metrics!A:C,3,0)</f>
        <v>#N/A</v>
      </c>
      <c r="F476" t="e">
        <f>VLOOKUP(Table_query3[[#This Row],[Metrics]],Metrics!A:C,2,0)</f>
        <v>#N/A</v>
      </c>
      <c r="H476" s="1"/>
    </row>
    <row r="477" spans="1:8" hidden="1" x14ac:dyDescent="0.25">
      <c r="A477" s="1"/>
      <c r="B477" s="4"/>
      <c r="C477" s="1"/>
      <c r="D477" s="1"/>
      <c r="E477" t="e">
        <f>VLOOKUP(Table_query3[[#This Row],[Metrics]],Metrics!A:C,3,0)</f>
        <v>#N/A</v>
      </c>
      <c r="F477" t="e">
        <f>VLOOKUP(Table_query3[[#This Row],[Metrics]],Metrics!A:C,2,0)</f>
        <v>#N/A</v>
      </c>
      <c r="H477" s="1"/>
    </row>
    <row r="478" spans="1:8" hidden="1" x14ac:dyDescent="0.25">
      <c r="A478" s="1"/>
      <c r="B478" s="4"/>
      <c r="C478" s="1"/>
      <c r="D478" s="1"/>
      <c r="E478" t="e">
        <f>VLOOKUP(Table_query3[[#This Row],[Metrics]],Metrics!A:C,3,0)</f>
        <v>#N/A</v>
      </c>
      <c r="F478" t="e">
        <f>VLOOKUP(Table_query3[[#This Row],[Metrics]],Metrics!A:C,2,0)</f>
        <v>#N/A</v>
      </c>
      <c r="H478" s="1"/>
    </row>
    <row r="479" spans="1:8" hidden="1" x14ac:dyDescent="0.25">
      <c r="A479" s="1"/>
      <c r="B479" s="4"/>
      <c r="C479" s="1"/>
      <c r="D479" s="1"/>
      <c r="E479" t="e">
        <f>VLOOKUP(Table_query3[[#This Row],[Metrics]],Metrics!A:C,3,0)</f>
        <v>#N/A</v>
      </c>
      <c r="F479" t="e">
        <f>VLOOKUP(Table_query3[[#This Row],[Metrics]],Metrics!A:C,2,0)</f>
        <v>#N/A</v>
      </c>
      <c r="H479" s="1"/>
    </row>
    <row r="480" spans="1:8" hidden="1" x14ac:dyDescent="0.25">
      <c r="A480" s="1"/>
      <c r="B480" s="4"/>
      <c r="C480" s="1"/>
      <c r="D480" s="1"/>
      <c r="E480" t="e">
        <f>VLOOKUP(Table_query3[[#This Row],[Metrics]],Metrics!A:C,3,0)</f>
        <v>#N/A</v>
      </c>
      <c r="F480" t="e">
        <f>VLOOKUP(Table_query3[[#This Row],[Metrics]],Metrics!A:C,2,0)</f>
        <v>#N/A</v>
      </c>
      <c r="H480" s="1"/>
    </row>
    <row r="481" spans="1:8" hidden="1" x14ac:dyDescent="0.25">
      <c r="A481" s="1"/>
      <c r="B481" s="4"/>
      <c r="C481" s="1"/>
      <c r="D481" s="1"/>
      <c r="E481" t="e">
        <f>VLOOKUP(Table_query3[[#This Row],[Metrics]],Metrics!A:C,3,0)</f>
        <v>#N/A</v>
      </c>
      <c r="F481" t="e">
        <f>VLOOKUP(Table_query3[[#This Row],[Metrics]],Metrics!A:C,2,0)</f>
        <v>#N/A</v>
      </c>
      <c r="H481" s="1"/>
    </row>
    <row r="482" spans="1:8" hidden="1" x14ac:dyDescent="0.25">
      <c r="A482" s="1"/>
      <c r="B482" s="4"/>
      <c r="C482" s="1"/>
      <c r="D482" s="1"/>
      <c r="E482" t="e">
        <f>VLOOKUP(Table_query3[[#This Row],[Metrics]],Metrics!A:C,3,0)</f>
        <v>#N/A</v>
      </c>
      <c r="F482" t="e">
        <f>VLOOKUP(Table_query3[[#This Row],[Metrics]],Metrics!A:C,2,0)</f>
        <v>#N/A</v>
      </c>
      <c r="H482" s="1"/>
    </row>
    <row r="483" spans="1:8" hidden="1" x14ac:dyDescent="0.25">
      <c r="A483" s="1"/>
      <c r="B483" s="4"/>
      <c r="C483" s="1"/>
      <c r="D483" s="1"/>
      <c r="E483" t="e">
        <f>VLOOKUP(Table_query3[[#This Row],[Metrics]],Metrics!A:C,3,0)</f>
        <v>#N/A</v>
      </c>
      <c r="F483" t="e">
        <f>VLOOKUP(Table_query3[[#This Row],[Metrics]],Metrics!A:C,2,0)</f>
        <v>#N/A</v>
      </c>
      <c r="H483" s="1"/>
    </row>
    <row r="484" spans="1:8" hidden="1" x14ac:dyDescent="0.25">
      <c r="A484" s="1"/>
      <c r="B484" s="4"/>
      <c r="C484" s="1"/>
      <c r="D484" s="1"/>
      <c r="E484" t="e">
        <f>VLOOKUP(Table_query3[[#This Row],[Metrics]],Metrics!A:C,3,0)</f>
        <v>#N/A</v>
      </c>
      <c r="F484" t="e">
        <f>VLOOKUP(Table_query3[[#This Row],[Metrics]],Metrics!A:C,2,0)</f>
        <v>#N/A</v>
      </c>
      <c r="H484" s="1"/>
    </row>
    <row r="485" spans="1:8" hidden="1" x14ac:dyDescent="0.25">
      <c r="A485" s="1"/>
      <c r="B485" s="4"/>
      <c r="C485" s="1"/>
      <c r="D485" s="1"/>
      <c r="E485" t="e">
        <f>VLOOKUP(Table_query3[[#This Row],[Metrics]],Metrics!A:C,3,0)</f>
        <v>#N/A</v>
      </c>
      <c r="F485" t="e">
        <f>VLOOKUP(Table_query3[[#This Row],[Metrics]],Metrics!A:C,2,0)</f>
        <v>#N/A</v>
      </c>
      <c r="H485" s="1"/>
    </row>
    <row r="486" spans="1:8" hidden="1" x14ac:dyDescent="0.25">
      <c r="A486" s="1"/>
      <c r="B486" s="4"/>
      <c r="C486" s="1"/>
      <c r="D486" s="1"/>
      <c r="E486" t="e">
        <f>VLOOKUP(Table_query3[[#This Row],[Metrics]],Metrics!A:C,3,0)</f>
        <v>#N/A</v>
      </c>
      <c r="F486" t="e">
        <f>VLOOKUP(Table_query3[[#This Row],[Metrics]],Metrics!A:C,2,0)</f>
        <v>#N/A</v>
      </c>
      <c r="H486" s="1"/>
    </row>
    <row r="487" spans="1:8" hidden="1" x14ac:dyDescent="0.25">
      <c r="A487" s="1"/>
      <c r="B487" s="4"/>
      <c r="C487" s="1"/>
      <c r="D487" s="1"/>
      <c r="E487" t="e">
        <f>VLOOKUP(Table_query3[[#This Row],[Metrics]],Metrics!A:C,3,0)</f>
        <v>#N/A</v>
      </c>
      <c r="F487" t="e">
        <f>VLOOKUP(Table_query3[[#This Row],[Metrics]],Metrics!A:C,2,0)</f>
        <v>#N/A</v>
      </c>
      <c r="H487" s="1"/>
    </row>
    <row r="488" spans="1:8" hidden="1" x14ac:dyDescent="0.25">
      <c r="A488" s="1"/>
      <c r="B488" s="4"/>
      <c r="C488" s="1"/>
      <c r="D488" s="1"/>
      <c r="E488" t="e">
        <f>VLOOKUP(Table_query3[[#This Row],[Metrics]],Metrics!A:C,3,0)</f>
        <v>#N/A</v>
      </c>
      <c r="F488" t="e">
        <f>VLOOKUP(Table_query3[[#This Row],[Metrics]],Metrics!A:C,2,0)</f>
        <v>#N/A</v>
      </c>
      <c r="H488" s="1"/>
    </row>
    <row r="489" spans="1:8" hidden="1" x14ac:dyDescent="0.25">
      <c r="A489" s="1"/>
      <c r="B489" s="4"/>
      <c r="C489" s="1"/>
      <c r="D489" s="1"/>
      <c r="E489" t="e">
        <f>VLOOKUP(Table_query3[[#This Row],[Metrics]],Metrics!A:C,3,0)</f>
        <v>#N/A</v>
      </c>
      <c r="F489" t="e">
        <f>VLOOKUP(Table_query3[[#This Row],[Metrics]],Metrics!A:C,2,0)</f>
        <v>#N/A</v>
      </c>
      <c r="H489" s="1"/>
    </row>
    <row r="490" spans="1:8" hidden="1" x14ac:dyDescent="0.25">
      <c r="A490" s="1"/>
      <c r="B490" s="4"/>
      <c r="C490" s="1"/>
      <c r="D490" s="1"/>
      <c r="E490" t="e">
        <f>VLOOKUP(Table_query3[[#This Row],[Metrics]],Metrics!A:C,3,0)</f>
        <v>#N/A</v>
      </c>
      <c r="F490" t="e">
        <f>VLOOKUP(Table_query3[[#This Row],[Metrics]],Metrics!A:C,2,0)</f>
        <v>#N/A</v>
      </c>
      <c r="H490" s="1"/>
    </row>
    <row r="491" spans="1:8" hidden="1" x14ac:dyDescent="0.25">
      <c r="A491" s="1"/>
      <c r="B491" s="4"/>
      <c r="C491" s="1"/>
      <c r="D491" s="1"/>
      <c r="E491" t="e">
        <f>VLOOKUP(Table_query3[[#This Row],[Metrics]],Metrics!A:C,3,0)</f>
        <v>#N/A</v>
      </c>
      <c r="F491" t="e">
        <f>VLOOKUP(Table_query3[[#This Row],[Metrics]],Metrics!A:C,2,0)</f>
        <v>#N/A</v>
      </c>
      <c r="H491" s="1"/>
    </row>
    <row r="492" spans="1:8" hidden="1" x14ac:dyDescent="0.25">
      <c r="A492" s="1"/>
      <c r="B492" s="4"/>
      <c r="C492" s="1"/>
      <c r="D492" s="1"/>
      <c r="E492" t="e">
        <f>VLOOKUP(Table_query3[[#This Row],[Metrics]],Metrics!A:C,3,0)</f>
        <v>#N/A</v>
      </c>
      <c r="F492" t="e">
        <f>VLOOKUP(Table_query3[[#This Row],[Metrics]],Metrics!A:C,2,0)</f>
        <v>#N/A</v>
      </c>
      <c r="H492" s="1"/>
    </row>
    <row r="493" spans="1:8" hidden="1" x14ac:dyDescent="0.25">
      <c r="A493" s="1"/>
      <c r="B493" s="4"/>
      <c r="C493" s="1"/>
      <c r="D493" s="1"/>
      <c r="E493" t="e">
        <f>VLOOKUP(Table_query3[[#This Row],[Metrics]],Metrics!A:C,3,0)</f>
        <v>#N/A</v>
      </c>
      <c r="F493" t="e">
        <f>VLOOKUP(Table_query3[[#This Row],[Metrics]],Metrics!A:C,2,0)</f>
        <v>#N/A</v>
      </c>
      <c r="H493" s="1"/>
    </row>
    <row r="494" spans="1:8" hidden="1" x14ac:dyDescent="0.25">
      <c r="A494" s="1"/>
      <c r="B494" s="4"/>
      <c r="C494" s="1"/>
      <c r="D494" s="1"/>
      <c r="E494" t="e">
        <f>VLOOKUP(Table_query3[[#This Row],[Metrics]],Metrics!A:C,3,0)</f>
        <v>#N/A</v>
      </c>
      <c r="F494" t="e">
        <f>VLOOKUP(Table_query3[[#This Row],[Metrics]],Metrics!A:C,2,0)</f>
        <v>#N/A</v>
      </c>
      <c r="H494" s="1"/>
    </row>
    <row r="495" spans="1:8" hidden="1" x14ac:dyDescent="0.25">
      <c r="A495" s="1"/>
      <c r="B495" s="4"/>
      <c r="C495" s="1"/>
      <c r="D495" s="1"/>
      <c r="E495" t="e">
        <f>VLOOKUP(Table_query3[[#This Row],[Metrics]],Metrics!A:C,3,0)</f>
        <v>#N/A</v>
      </c>
      <c r="F495" t="e">
        <f>VLOOKUP(Table_query3[[#This Row],[Metrics]],Metrics!A:C,2,0)</f>
        <v>#N/A</v>
      </c>
      <c r="H495" s="1"/>
    </row>
    <row r="496" spans="1:8" hidden="1" x14ac:dyDescent="0.25">
      <c r="A496" s="1"/>
      <c r="B496" s="4"/>
      <c r="C496" s="1"/>
      <c r="D496" s="1"/>
      <c r="E496" t="e">
        <f>VLOOKUP(Table_query3[[#This Row],[Metrics]],Metrics!A:C,3,0)</f>
        <v>#N/A</v>
      </c>
      <c r="F496" t="e">
        <f>VLOOKUP(Table_query3[[#This Row],[Metrics]],Metrics!A:C,2,0)</f>
        <v>#N/A</v>
      </c>
      <c r="H496" s="1"/>
    </row>
    <row r="497" spans="1:8" hidden="1" x14ac:dyDescent="0.25">
      <c r="A497" s="1"/>
      <c r="B497" s="4"/>
      <c r="C497" s="1"/>
      <c r="D497" s="1"/>
      <c r="E497" t="e">
        <f>VLOOKUP(Table_query3[[#This Row],[Metrics]],Metrics!A:C,3,0)</f>
        <v>#N/A</v>
      </c>
      <c r="F497" t="e">
        <f>VLOOKUP(Table_query3[[#This Row],[Metrics]],Metrics!A:C,2,0)</f>
        <v>#N/A</v>
      </c>
      <c r="H497" s="1"/>
    </row>
    <row r="498" spans="1:8" hidden="1" x14ac:dyDescent="0.25">
      <c r="A498" s="1"/>
      <c r="B498" s="4"/>
      <c r="C498" s="1"/>
      <c r="D498" s="1"/>
      <c r="E498" t="e">
        <f>VLOOKUP(Table_query3[[#This Row],[Metrics]],Metrics!A:C,3,0)</f>
        <v>#N/A</v>
      </c>
      <c r="F498" t="e">
        <f>VLOOKUP(Table_query3[[#This Row],[Metrics]],Metrics!A:C,2,0)</f>
        <v>#N/A</v>
      </c>
      <c r="H498" s="1"/>
    </row>
    <row r="499" spans="1:8" hidden="1" x14ac:dyDescent="0.25">
      <c r="A499" s="1"/>
      <c r="B499" s="4"/>
      <c r="C499" s="1"/>
      <c r="D499" s="1"/>
      <c r="E499" t="e">
        <f>VLOOKUP(Table_query3[[#This Row],[Metrics]],Metrics!A:C,3,0)</f>
        <v>#N/A</v>
      </c>
      <c r="F499" t="e">
        <f>VLOOKUP(Table_query3[[#This Row],[Metrics]],Metrics!A:C,2,0)</f>
        <v>#N/A</v>
      </c>
      <c r="H499" s="1"/>
    </row>
    <row r="500" spans="1:8" hidden="1" x14ac:dyDescent="0.25">
      <c r="A500" s="1"/>
      <c r="B500" s="4"/>
      <c r="C500" s="1"/>
      <c r="D500" s="1"/>
      <c r="E500" t="e">
        <f>VLOOKUP(Table_query3[[#This Row],[Metrics]],Metrics!A:C,3,0)</f>
        <v>#N/A</v>
      </c>
      <c r="F500" t="e">
        <f>VLOOKUP(Table_query3[[#This Row],[Metrics]],Metrics!A:C,2,0)</f>
        <v>#N/A</v>
      </c>
      <c r="H500" s="1"/>
    </row>
    <row r="501" spans="1:8" hidden="1" x14ac:dyDescent="0.25">
      <c r="A501" s="1"/>
      <c r="B501" s="4"/>
      <c r="C501" s="1"/>
      <c r="D501" s="1"/>
      <c r="E501" t="e">
        <f>VLOOKUP(Table_query3[[#This Row],[Metrics]],Metrics!A:C,3,0)</f>
        <v>#N/A</v>
      </c>
      <c r="F501" t="e">
        <f>VLOOKUP(Table_query3[[#This Row],[Metrics]],Metrics!A:C,2,0)</f>
        <v>#N/A</v>
      </c>
      <c r="H501" s="1"/>
    </row>
    <row r="502" spans="1:8" hidden="1" x14ac:dyDescent="0.25">
      <c r="A502" s="1"/>
      <c r="B502" s="4"/>
      <c r="C502" s="1"/>
      <c r="D502" s="1"/>
      <c r="E502" t="e">
        <f>VLOOKUP(Table_query3[[#This Row],[Metrics]],Metrics!A:C,3,0)</f>
        <v>#N/A</v>
      </c>
      <c r="F502" t="e">
        <f>VLOOKUP(Table_query3[[#This Row],[Metrics]],Metrics!A:C,2,0)</f>
        <v>#N/A</v>
      </c>
      <c r="H502" s="1"/>
    </row>
    <row r="503" spans="1:8" hidden="1" x14ac:dyDescent="0.25">
      <c r="A503" s="1"/>
      <c r="B503" s="4"/>
      <c r="C503" s="1"/>
      <c r="D503" s="1"/>
      <c r="E503" t="e">
        <f>VLOOKUP(Table_query3[[#This Row],[Metrics]],Metrics!A:C,3,0)</f>
        <v>#N/A</v>
      </c>
      <c r="F503" t="e">
        <f>VLOOKUP(Table_query3[[#This Row],[Metrics]],Metrics!A:C,2,0)</f>
        <v>#N/A</v>
      </c>
      <c r="H503" s="1"/>
    </row>
    <row r="504" spans="1:8" hidden="1" x14ac:dyDescent="0.25">
      <c r="A504" s="1"/>
      <c r="B504" s="4"/>
      <c r="C504" s="1"/>
      <c r="D504" s="1"/>
      <c r="E504" t="e">
        <f>VLOOKUP(Table_query3[[#This Row],[Metrics]],Metrics!A:C,3,0)</f>
        <v>#N/A</v>
      </c>
      <c r="F504" t="e">
        <f>VLOOKUP(Table_query3[[#This Row],[Metrics]],Metrics!A:C,2,0)</f>
        <v>#N/A</v>
      </c>
      <c r="H504" s="1"/>
    </row>
    <row r="505" spans="1:8" hidden="1" x14ac:dyDescent="0.25">
      <c r="A505" s="1"/>
      <c r="B505" s="4"/>
      <c r="C505" s="1"/>
      <c r="D505" s="1"/>
      <c r="E505" t="e">
        <f>VLOOKUP(Table_query3[[#This Row],[Metrics]],Metrics!A:C,3,0)</f>
        <v>#N/A</v>
      </c>
      <c r="F505" t="e">
        <f>VLOOKUP(Table_query3[[#This Row],[Metrics]],Metrics!A:C,2,0)</f>
        <v>#N/A</v>
      </c>
      <c r="H505" s="1"/>
    </row>
    <row r="506" spans="1:8" hidden="1" x14ac:dyDescent="0.25">
      <c r="A506" s="1"/>
      <c r="B506" s="4"/>
      <c r="C506" s="1"/>
      <c r="D506" s="1"/>
      <c r="E506" t="e">
        <f>VLOOKUP(Table_query3[[#This Row],[Metrics]],Metrics!A:C,3,0)</f>
        <v>#N/A</v>
      </c>
      <c r="F506" t="e">
        <f>VLOOKUP(Table_query3[[#This Row],[Metrics]],Metrics!A:C,2,0)</f>
        <v>#N/A</v>
      </c>
      <c r="H506" s="1"/>
    </row>
    <row r="507" spans="1:8" hidden="1" x14ac:dyDescent="0.25">
      <c r="A507" s="1"/>
      <c r="B507" s="4"/>
      <c r="C507" s="1"/>
      <c r="D507" s="1"/>
      <c r="E507" t="e">
        <f>VLOOKUP(Table_query3[[#This Row],[Metrics]],Metrics!A:C,3,0)</f>
        <v>#N/A</v>
      </c>
      <c r="F507" t="e">
        <f>VLOOKUP(Table_query3[[#This Row],[Metrics]],Metrics!A:C,2,0)</f>
        <v>#N/A</v>
      </c>
      <c r="H507" s="1"/>
    </row>
    <row r="508" spans="1:8" hidden="1" x14ac:dyDescent="0.25">
      <c r="A508" s="1"/>
      <c r="B508" s="4"/>
      <c r="C508" s="1"/>
      <c r="D508" s="1"/>
      <c r="E508" t="e">
        <f>VLOOKUP(Table_query3[[#This Row],[Metrics]],Metrics!A:C,3,0)</f>
        <v>#N/A</v>
      </c>
      <c r="F508" t="e">
        <f>VLOOKUP(Table_query3[[#This Row],[Metrics]],Metrics!A:C,2,0)</f>
        <v>#N/A</v>
      </c>
      <c r="H508" s="1"/>
    </row>
    <row r="509" spans="1:8" hidden="1" x14ac:dyDescent="0.25">
      <c r="A509" s="1"/>
      <c r="B509" s="4"/>
      <c r="C509" s="1"/>
      <c r="D509" s="1"/>
      <c r="E509" t="e">
        <f>VLOOKUP(Table_query3[[#This Row],[Metrics]],Metrics!A:C,3,0)</f>
        <v>#N/A</v>
      </c>
      <c r="F509" t="e">
        <f>VLOOKUP(Table_query3[[#This Row],[Metrics]],Metrics!A:C,2,0)</f>
        <v>#N/A</v>
      </c>
      <c r="H509" s="1"/>
    </row>
    <row r="510" spans="1:8" hidden="1" x14ac:dyDescent="0.25">
      <c r="A510" s="1"/>
      <c r="B510" s="4"/>
      <c r="C510" s="1"/>
      <c r="D510" s="1"/>
      <c r="E510" t="e">
        <f>VLOOKUP(Table_query3[[#This Row],[Metrics]],Metrics!A:C,3,0)</f>
        <v>#N/A</v>
      </c>
      <c r="F510" t="e">
        <f>VLOOKUP(Table_query3[[#This Row],[Metrics]],Metrics!A:C,2,0)</f>
        <v>#N/A</v>
      </c>
      <c r="H510" s="1"/>
    </row>
    <row r="511" spans="1:8" hidden="1" x14ac:dyDescent="0.25">
      <c r="A511" s="1"/>
      <c r="B511" s="4"/>
      <c r="C511" s="1"/>
      <c r="D511" s="1"/>
      <c r="E511" t="e">
        <f>VLOOKUP(Table_query3[[#This Row],[Metrics]],Metrics!A:C,3,0)</f>
        <v>#N/A</v>
      </c>
      <c r="F511" t="e">
        <f>VLOOKUP(Table_query3[[#This Row],[Metrics]],Metrics!A:C,2,0)</f>
        <v>#N/A</v>
      </c>
      <c r="H511" s="1"/>
    </row>
    <row r="512" spans="1:8" hidden="1" x14ac:dyDescent="0.25">
      <c r="A512" s="1"/>
      <c r="B512" s="4"/>
      <c r="C512" s="1"/>
      <c r="D512" s="1"/>
      <c r="E512" t="e">
        <f>VLOOKUP(Table_query3[[#This Row],[Metrics]],Metrics!A:C,3,0)</f>
        <v>#N/A</v>
      </c>
      <c r="F512" t="e">
        <f>VLOOKUP(Table_query3[[#This Row],[Metrics]],Metrics!A:C,2,0)</f>
        <v>#N/A</v>
      </c>
      <c r="H512" s="1"/>
    </row>
    <row r="513" spans="1:8" hidden="1" x14ac:dyDescent="0.25">
      <c r="A513" s="1"/>
      <c r="B513" s="4"/>
      <c r="C513" s="1"/>
      <c r="D513" s="1"/>
      <c r="E513" t="e">
        <f>VLOOKUP(Table_query3[[#This Row],[Metrics]],Metrics!A:C,3,0)</f>
        <v>#N/A</v>
      </c>
      <c r="F513" t="e">
        <f>VLOOKUP(Table_query3[[#This Row],[Metrics]],Metrics!A:C,2,0)</f>
        <v>#N/A</v>
      </c>
      <c r="H513" s="1"/>
    </row>
    <row r="514" spans="1:8" hidden="1" x14ac:dyDescent="0.25">
      <c r="A514" s="1"/>
      <c r="B514" s="4"/>
      <c r="C514" s="1"/>
      <c r="D514" s="1"/>
      <c r="E514" t="e">
        <f>VLOOKUP(Table_query3[[#This Row],[Metrics]],Metrics!A:C,3,0)</f>
        <v>#N/A</v>
      </c>
      <c r="F514" t="e">
        <f>VLOOKUP(Table_query3[[#This Row],[Metrics]],Metrics!A:C,2,0)</f>
        <v>#N/A</v>
      </c>
      <c r="H514" s="1"/>
    </row>
    <row r="515" spans="1:8" hidden="1" x14ac:dyDescent="0.25">
      <c r="A515" s="1"/>
      <c r="B515" s="4"/>
      <c r="C515" s="1"/>
      <c r="D515" s="1"/>
      <c r="E515" t="e">
        <f>VLOOKUP(Table_query3[[#This Row],[Metrics]],Metrics!A:C,3,0)</f>
        <v>#N/A</v>
      </c>
      <c r="F515" t="e">
        <f>VLOOKUP(Table_query3[[#This Row],[Metrics]],Metrics!A:C,2,0)</f>
        <v>#N/A</v>
      </c>
      <c r="H515" s="1"/>
    </row>
    <row r="516" spans="1:8" hidden="1" x14ac:dyDescent="0.25">
      <c r="A516" s="1"/>
      <c r="B516" s="4"/>
      <c r="C516" s="1"/>
      <c r="D516" s="1"/>
      <c r="E516" t="e">
        <f>VLOOKUP(Table_query3[[#This Row],[Metrics]],Metrics!A:C,3,0)</f>
        <v>#N/A</v>
      </c>
      <c r="F516" t="e">
        <f>VLOOKUP(Table_query3[[#This Row],[Metrics]],Metrics!A:C,2,0)</f>
        <v>#N/A</v>
      </c>
      <c r="H516" s="1"/>
    </row>
    <row r="517" spans="1:8" hidden="1" x14ac:dyDescent="0.25">
      <c r="A517" s="1"/>
      <c r="B517" s="4"/>
      <c r="C517" s="1"/>
      <c r="D517" s="1"/>
      <c r="E517" t="e">
        <f>VLOOKUP(Table_query3[[#This Row],[Metrics]],Metrics!A:C,3,0)</f>
        <v>#N/A</v>
      </c>
      <c r="F517" t="e">
        <f>VLOOKUP(Table_query3[[#This Row],[Metrics]],Metrics!A:C,2,0)</f>
        <v>#N/A</v>
      </c>
      <c r="H517" s="1"/>
    </row>
    <row r="518" spans="1:8" hidden="1" x14ac:dyDescent="0.25">
      <c r="A518" s="1"/>
      <c r="B518" s="4"/>
      <c r="C518" s="1"/>
      <c r="D518" s="1"/>
      <c r="E518" t="e">
        <f>VLOOKUP(Table_query3[[#This Row],[Metrics]],Metrics!A:C,3,0)</f>
        <v>#N/A</v>
      </c>
      <c r="F518" t="e">
        <f>VLOOKUP(Table_query3[[#This Row],[Metrics]],Metrics!A:C,2,0)</f>
        <v>#N/A</v>
      </c>
      <c r="H518" s="1"/>
    </row>
    <row r="519" spans="1:8" hidden="1" x14ac:dyDescent="0.25">
      <c r="A519" s="1"/>
      <c r="B519" s="4"/>
      <c r="C519" s="1"/>
      <c r="D519" s="1"/>
      <c r="E519" t="e">
        <f>VLOOKUP(Table_query3[[#This Row],[Metrics]],Metrics!A:C,3,0)</f>
        <v>#N/A</v>
      </c>
      <c r="F519" t="e">
        <f>VLOOKUP(Table_query3[[#This Row],[Metrics]],Metrics!A:C,2,0)</f>
        <v>#N/A</v>
      </c>
      <c r="H519" s="1"/>
    </row>
    <row r="520" spans="1:8" hidden="1" x14ac:dyDescent="0.25">
      <c r="A520" s="1"/>
      <c r="B520" s="4"/>
      <c r="C520" s="1"/>
      <c r="D520" s="1"/>
      <c r="E520" t="e">
        <f>VLOOKUP(Table_query3[[#This Row],[Metrics]],Metrics!A:C,3,0)</f>
        <v>#N/A</v>
      </c>
      <c r="F520" t="e">
        <f>VLOOKUP(Table_query3[[#This Row],[Metrics]],Metrics!A:C,2,0)</f>
        <v>#N/A</v>
      </c>
      <c r="H520" s="1"/>
    </row>
    <row r="521" spans="1:8" hidden="1" x14ac:dyDescent="0.25">
      <c r="A521" s="1"/>
      <c r="B521" s="4"/>
      <c r="C521" s="1"/>
      <c r="D521" s="1"/>
      <c r="E521" t="e">
        <f>VLOOKUP(Table_query3[[#This Row],[Metrics]],Metrics!A:C,3,0)</f>
        <v>#N/A</v>
      </c>
      <c r="F521" t="e">
        <f>VLOOKUP(Table_query3[[#This Row],[Metrics]],Metrics!A:C,2,0)</f>
        <v>#N/A</v>
      </c>
      <c r="H521" s="1"/>
    </row>
    <row r="522" spans="1:8" hidden="1" x14ac:dyDescent="0.25">
      <c r="A522" s="1"/>
      <c r="B522" s="4"/>
      <c r="C522" s="1"/>
      <c r="D522" s="1"/>
      <c r="E522" t="e">
        <f>VLOOKUP(Table_query3[[#This Row],[Metrics]],Metrics!A:C,3,0)</f>
        <v>#N/A</v>
      </c>
      <c r="F522" t="e">
        <f>VLOOKUP(Table_query3[[#This Row],[Metrics]],Metrics!A:C,2,0)</f>
        <v>#N/A</v>
      </c>
      <c r="H522" s="1"/>
    </row>
    <row r="523" spans="1:8" hidden="1" x14ac:dyDescent="0.25">
      <c r="A523" s="1"/>
      <c r="B523" s="4"/>
      <c r="C523" s="1"/>
      <c r="D523" s="1"/>
      <c r="E523" t="e">
        <f>VLOOKUP(Table_query3[[#This Row],[Metrics]],Metrics!A:C,3,0)</f>
        <v>#N/A</v>
      </c>
      <c r="F523" t="e">
        <f>VLOOKUP(Table_query3[[#This Row],[Metrics]],Metrics!A:C,2,0)</f>
        <v>#N/A</v>
      </c>
      <c r="H523" s="1"/>
    </row>
    <row r="524" spans="1:8" hidden="1" x14ac:dyDescent="0.25">
      <c r="A524" s="1"/>
      <c r="B524" s="4"/>
      <c r="C524" s="1"/>
      <c r="D524" s="1"/>
      <c r="E524" t="e">
        <f>VLOOKUP(Table_query3[[#This Row],[Metrics]],Metrics!A:C,3,0)</f>
        <v>#N/A</v>
      </c>
      <c r="F524" t="e">
        <f>VLOOKUP(Table_query3[[#This Row],[Metrics]],Metrics!A:C,2,0)</f>
        <v>#N/A</v>
      </c>
      <c r="H524" s="1"/>
    </row>
    <row r="525" spans="1:8" hidden="1" x14ac:dyDescent="0.25">
      <c r="A525" s="1"/>
      <c r="B525" s="4"/>
      <c r="C525" s="1"/>
      <c r="D525" s="1"/>
      <c r="E525" t="e">
        <f>VLOOKUP(Table_query3[[#This Row],[Metrics]],Metrics!A:C,3,0)</f>
        <v>#N/A</v>
      </c>
      <c r="F525" t="e">
        <f>VLOOKUP(Table_query3[[#This Row],[Metrics]],Metrics!A:C,2,0)</f>
        <v>#N/A</v>
      </c>
      <c r="H525" s="1"/>
    </row>
    <row r="526" spans="1:8" hidden="1" x14ac:dyDescent="0.25">
      <c r="A526" s="1"/>
      <c r="B526" s="4"/>
      <c r="C526" s="1"/>
      <c r="D526" s="1"/>
      <c r="E526" t="e">
        <f>VLOOKUP(Table_query3[[#This Row],[Metrics]],Metrics!A:C,3,0)</f>
        <v>#N/A</v>
      </c>
      <c r="F526" t="e">
        <f>VLOOKUP(Table_query3[[#This Row],[Metrics]],Metrics!A:C,2,0)</f>
        <v>#N/A</v>
      </c>
      <c r="H526" s="1"/>
    </row>
    <row r="527" spans="1:8" hidden="1" x14ac:dyDescent="0.25">
      <c r="A527" s="1"/>
      <c r="B527" s="4"/>
      <c r="C527" s="1"/>
      <c r="D527" s="1"/>
      <c r="E527" t="e">
        <f>VLOOKUP(Table_query3[[#This Row],[Metrics]],Metrics!A:C,3,0)</f>
        <v>#N/A</v>
      </c>
      <c r="F527" t="e">
        <f>VLOOKUP(Table_query3[[#This Row],[Metrics]],Metrics!A:C,2,0)</f>
        <v>#N/A</v>
      </c>
      <c r="H527" s="1"/>
    </row>
    <row r="528" spans="1:8" hidden="1" x14ac:dyDescent="0.25">
      <c r="A528" s="1"/>
      <c r="B528" s="4"/>
      <c r="C528" s="1"/>
      <c r="D528" s="1"/>
      <c r="E528" t="e">
        <f>VLOOKUP(Table_query3[[#This Row],[Metrics]],Metrics!A:C,3,0)</f>
        <v>#N/A</v>
      </c>
      <c r="F528" t="e">
        <f>VLOOKUP(Table_query3[[#This Row],[Metrics]],Metrics!A:C,2,0)</f>
        <v>#N/A</v>
      </c>
      <c r="H528" s="1"/>
    </row>
    <row r="529" spans="1:8" hidden="1" x14ac:dyDescent="0.25">
      <c r="A529" s="1"/>
      <c r="B529" s="4"/>
      <c r="C529" s="1"/>
      <c r="D529" s="1"/>
      <c r="E529" t="e">
        <f>VLOOKUP(Table_query3[[#This Row],[Metrics]],Metrics!A:C,3,0)</f>
        <v>#N/A</v>
      </c>
      <c r="F529" t="e">
        <f>VLOOKUP(Table_query3[[#This Row],[Metrics]],Metrics!A:C,2,0)</f>
        <v>#N/A</v>
      </c>
      <c r="H529" s="1"/>
    </row>
    <row r="530" spans="1:8" hidden="1" x14ac:dyDescent="0.25">
      <c r="A530" s="1"/>
      <c r="B530" s="4"/>
      <c r="C530" s="1"/>
      <c r="D530" s="1"/>
      <c r="E530" t="e">
        <f>VLOOKUP(Table_query3[[#This Row],[Metrics]],Metrics!A:C,3,0)</f>
        <v>#N/A</v>
      </c>
      <c r="F530" t="e">
        <f>VLOOKUP(Table_query3[[#This Row],[Metrics]],Metrics!A:C,2,0)</f>
        <v>#N/A</v>
      </c>
      <c r="H530" s="1"/>
    </row>
    <row r="531" spans="1:8" hidden="1" x14ac:dyDescent="0.25">
      <c r="A531" s="1"/>
      <c r="B531" s="4"/>
      <c r="C531" s="1"/>
      <c r="D531" s="1"/>
      <c r="E531" t="e">
        <f>VLOOKUP(Table_query3[[#This Row],[Metrics]],Metrics!A:C,3,0)</f>
        <v>#N/A</v>
      </c>
      <c r="F531" t="e">
        <f>VLOOKUP(Table_query3[[#This Row],[Metrics]],Metrics!A:C,2,0)</f>
        <v>#N/A</v>
      </c>
      <c r="H531" s="1"/>
    </row>
    <row r="532" spans="1:8" hidden="1" x14ac:dyDescent="0.25">
      <c r="A532" s="1"/>
      <c r="B532" s="4"/>
      <c r="C532" s="1"/>
      <c r="D532" s="1"/>
      <c r="E532" t="e">
        <f>VLOOKUP(Table_query3[[#This Row],[Metrics]],Metrics!A:C,3,0)</f>
        <v>#N/A</v>
      </c>
      <c r="F532" t="e">
        <f>VLOOKUP(Table_query3[[#This Row],[Metrics]],Metrics!A:C,2,0)</f>
        <v>#N/A</v>
      </c>
      <c r="H532" s="1"/>
    </row>
    <row r="533" spans="1:8" hidden="1" x14ac:dyDescent="0.25">
      <c r="A533" s="1"/>
      <c r="B533" s="4"/>
      <c r="C533" s="1"/>
      <c r="D533" s="1"/>
      <c r="E533" t="e">
        <f>VLOOKUP(Table_query3[[#This Row],[Metrics]],Metrics!A:C,3,0)</f>
        <v>#N/A</v>
      </c>
      <c r="F533" t="e">
        <f>VLOOKUP(Table_query3[[#This Row],[Metrics]],Metrics!A:C,2,0)</f>
        <v>#N/A</v>
      </c>
      <c r="H533" s="1"/>
    </row>
    <row r="534" spans="1:8" hidden="1" x14ac:dyDescent="0.25">
      <c r="A534" s="1"/>
      <c r="B534" s="4"/>
      <c r="C534" s="1"/>
      <c r="D534" s="1"/>
      <c r="E534" t="e">
        <f>VLOOKUP(Table_query3[[#This Row],[Metrics]],Metrics!A:C,3,0)</f>
        <v>#N/A</v>
      </c>
      <c r="F534" t="e">
        <f>VLOOKUP(Table_query3[[#This Row],[Metrics]],Metrics!A:C,2,0)</f>
        <v>#N/A</v>
      </c>
      <c r="H534" s="1"/>
    </row>
    <row r="535" spans="1:8" hidden="1" x14ac:dyDescent="0.25">
      <c r="A535" s="1"/>
      <c r="B535" s="4"/>
      <c r="C535" s="1"/>
      <c r="D535" s="1"/>
      <c r="E535" t="e">
        <f>VLOOKUP(Table_query3[[#This Row],[Metrics]],Metrics!A:C,3,0)</f>
        <v>#N/A</v>
      </c>
      <c r="F535" t="e">
        <f>VLOOKUP(Table_query3[[#This Row],[Metrics]],Metrics!A:C,2,0)</f>
        <v>#N/A</v>
      </c>
      <c r="H535" s="1"/>
    </row>
    <row r="536" spans="1:8" hidden="1" x14ac:dyDescent="0.25">
      <c r="A536" s="1"/>
      <c r="B536" s="4"/>
      <c r="C536" s="1"/>
      <c r="D536" s="1"/>
      <c r="E536" t="e">
        <f>VLOOKUP(Table_query3[[#This Row],[Metrics]],Metrics!A:C,3,0)</f>
        <v>#N/A</v>
      </c>
      <c r="F536" t="e">
        <f>VLOOKUP(Table_query3[[#This Row],[Metrics]],Metrics!A:C,2,0)</f>
        <v>#N/A</v>
      </c>
      <c r="H536" s="1"/>
    </row>
    <row r="537" spans="1:8" hidden="1" x14ac:dyDescent="0.25">
      <c r="A537" s="1"/>
      <c r="B537" s="4"/>
      <c r="C537" s="1"/>
      <c r="D537" s="1"/>
      <c r="E537" t="e">
        <f>VLOOKUP(Table_query3[[#This Row],[Metrics]],Metrics!A:C,3,0)</f>
        <v>#N/A</v>
      </c>
      <c r="F537" t="e">
        <f>VLOOKUP(Table_query3[[#This Row],[Metrics]],Metrics!A:C,2,0)</f>
        <v>#N/A</v>
      </c>
      <c r="H537" s="1"/>
    </row>
    <row r="538" spans="1:8" hidden="1" x14ac:dyDescent="0.25">
      <c r="A538" s="1"/>
      <c r="B538" s="4"/>
      <c r="C538" s="1"/>
      <c r="D538" s="1"/>
      <c r="E538" t="e">
        <f>VLOOKUP(Table_query3[[#This Row],[Metrics]],Metrics!A:C,3,0)</f>
        <v>#N/A</v>
      </c>
      <c r="F538" t="e">
        <f>VLOOKUP(Table_query3[[#This Row],[Metrics]],Metrics!A:C,2,0)</f>
        <v>#N/A</v>
      </c>
      <c r="H538" s="1"/>
    </row>
    <row r="539" spans="1:8" hidden="1" x14ac:dyDescent="0.25">
      <c r="A539" s="1"/>
      <c r="B539" s="4"/>
      <c r="C539" s="1"/>
      <c r="D539" s="1"/>
      <c r="E539" t="e">
        <f>VLOOKUP(Table_query3[[#This Row],[Metrics]],Metrics!A:C,3,0)</f>
        <v>#N/A</v>
      </c>
      <c r="F539" t="e">
        <f>VLOOKUP(Table_query3[[#This Row],[Metrics]],Metrics!A:C,2,0)</f>
        <v>#N/A</v>
      </c>
      <c r="H539" s="1"/>
    </row>
    <row r="540" spans="1:8" hidden="1" x14ac:dyDescent="0.25">
      <c r="A540" s="1"/>
      <c r="B540" s="4"/>
      <c r="C540" s="1"/>
      <c r="D540" s="1"/>
      <c r="E540" t="e">
        <f>VLOOKUP(Table_query3[[#This Row],[Metrics]],Metrics!A:C,3,0)</f>
        <v>#N/A</v>
      </c>
      <c r="F540" t="e">
        <f>VLOOKUP(Table_query3[[#This Row],[Metrics]],Metrics!A:C,2,0)</f>
        <v>#N/A</v>
      </c>
      <c r="H540" s="1"/>
    </row>
    <row r="541" spans="1:8" hidden="1" x14ac:dyDescent="0.25">
      <c r="A541" s="1"/>
      <c r="B541" s="4"/>
      <c r="C541" s="1"/>
      <c r="D541" s="1"/>
      <c r="E541" t="e">
        <f>VLOOKUP(Table_query3[[#This Row],[Metrics]],Metrics!A:C,3,0)</f>
        <v>#N/A</v>
      </c>
      <c r="F541" t="e">
        <f>VLOOKUP(Table_query3[[#This Row],[Metrics]],Metrics!A:C,2,0)</f>
        <v>#N/A</v>
      </c>
      <c r="H541" s="1"/>
    </row>
    <row r="542" spans="1:8" hidden="1" x14ac:dyDescent="0.25">
      <c r="A542" s="1"/>
      <c r="B542" s="4"/>
      <c r="C542" s="1"/>
      <c r="D542" s="1"/>
      <c r="E542" t="e">
        <f>VLOOKUP(Table_query3[[#This Row],[Metrics]],Metrics!A:C,3,0)</f>
        <v>#N/A</v>
      </c>
      <c r="F542" t="e">
        <f>VLOOKUP(Table_query3[[#This Row],[Metrics]],Metrics!A:C,2,0)</f>
        <v>#N/A</v>
      </c>
      <c r="H542" s="1"/>
    </row>
    <row r="543" spans="1:8" hidden="1" x14ac:dyDescent="0.25">
      <c r="A543" s="1"/>
      <c r="B543" s="4"/>
      <c r="C543" s="1"/>
      <c r="D543" s="1"/>
      <c r="E543" t="e">
        <f>VLOOKUP(Table_query3[[#This Row],[Metrics]],Metrics!A:C,3,0)</f>
        <v>#N/A</v>
      </c>
      <c r="F543" t="e">
        <f>VLOOKUP(Table_query3[[#This Row],[Metrics]],Metrics!A:C,2,0)</f>
        <v>#N/A</v>
      </c>
      <c r="H543" s="1"/>
    </row>
    <row r="544" spans="1:8" hidden="1" x14ac:dyDescent="0.25">
      <c r="A544" s="1"/>
      <c r="B544" s="4"/>
      <c r="C544" s="1"/>
      <c r="D544" s="1"/>
      <c r="E544" t="e">
        <f>VLOOKUP(Table_query3[[#This Row],[Metrics]],Metrics!A:C,3,0)</f>
        <v>#N/A</v>
      </c>
      <c r="F544" t="e">
        <f>VLOOKUP(Table_query3[[#This Row],[Metrics]],Metrics!A:C,2,0)</f>
        <v>#N/A</v>
      </c>
      <c r="H544" s="1"/>
    </row>
    <row r="545" spans="1:8" hidden="1" x14ac:dyDescent="0.25">
      <c r="A545" s="1"/>
      <c r="B545" s="4"/>
      <c r="C545" s="1"/>
      <c r="D545" s="1"/>
      <c r="E545" t="e">
        <f>VLOOKUP(Table_query3[[#This Row],[Metrics]],Metrics!A:C,3,0)</f>
        <v>#N/A</v>
      </c>
      <c r="F545" t="e">
        <f>VLOOKUP(Table_query3[[#This Row],[Metrics]],Metrics!A:C,2,0)</f>
        <v>#N/A</v>
      </c>
      <c r="H545" s="1"/>
    </row>
    <row r="546" spans="1:8" hidden="1" x14ac:dyDescent="0.25">
      <c r="A546" s="1"/>
      <c r="B546" s="4"/>
      <c r="C546" s="1"/>
      <c r="D546" s="1"/>
      <c r="E546" t="e">
        <f>VLOOKUP(Table_query3[[#This Row],[Metrics]],Metrics!A:C,3,0)</f>
        <v>#N/A</v>
      </c>
      <c r="F546" t="e">
        <f>VLOOKUP(Table_query3[[#This Row],[Metrics]],Metrics!A:C,2,0)</f>
        <v>#N/A</v>
      </c>
      <c r="H546" s="1"/>
    </row>
    <row r="547" spans="1:8" hidden="1" x14ac:dyDescent="0.25">
      <c r="A547" s="1"/>
      <c r="B547" s="4"/>
      <c r="C547" s="1"/>
      <c r="D547" s="1"/>
      <c r="E547" t="e">
        <f>VLOOKUP(Table_query3[[#This Row],[Metrics]],Metrics!A:C,3,0)</f>
        <v>#N/A</v>
      </c>
      <c r="F547" t="e">
        <f>VLOOKUP(Table_query3[[#This Row],[Metrics]],Metrics!A:C,2,0)</f>
        <v>#N/A</v>
      </c>
      <c r="H547" s="1"/>
    </row>
    <row r="548" spans="1:8" hidden="1" x14ac:dyDescent="0.25">
      <c r="A548" s="1"/>
      <c r="B548" s="4"/>
      <c r="C548" s="1"/>
      <c r="D548" s="1"/>
      <c r="E548" t="e">
        <f>VLOOKUP(Table_query3[[#This Row],[Metrics]],Metrics!A:C,3,0)</f>
        <v>#N/A</v>
      </c>
      <c r="F548" t="e">
        <f>VLOOKUP(Table_query3[[#This Row],[Metrics]],Metrics!A:C,2,0)</f>
        <v>#N/A</v>
      </c>
      <c r="H548" s="1"/>
    </row>
    <row r="549" spans="1:8" hidden="1" x14ac:dyDescent="0.25">
      <c r="A549" s="1"/>
      <c r="B549" s="4"/>
      <c r="C549" s="1"/>
      <c r="D549" s="1"/>
      <c r="E549" t="e">
        <f>VLOOKUP(Table_query3[[#This Row],[Metrics]],Metrics!A:C,3,0)</f>
        <v>#N/A</v>
      </c>
      <c r="F549" t="e">
        <f>VLOOKUP(Table_query3[[#This Row],[Metrics]],Metrics!A:C,2,0)</f>
        <v>#N/A</v>
      </c>
      <c r="H549" s="1"/>
    </row>
    <row r="550" spans="1:8" hidden="1" x14ac:dyDescent="0.25">
      <c r="A550" s="1"/>
      <c r="B550" s="4"/>
      <c r="C550" s="1"/>
      <c r="D550" s="1"/>
      <c r="E550" t="e">
        <f>VLOOKUP(Table_query3[[#This Row],[Metrics]],Metrics!A:C,3,0)</f>
        <v>#N/A</v>
      </c>
      <c r="F550" t="e">
        <f>VLOOKUP(Table_query3[[#This Row],[Metrics]],Metrics!A:C,2,0)</f>
        <v>#N/A</v>
      </c>
      <c r="H550" s="1"/>
    </row>
    <row r="551" spans="1:8" hidden="1" x14ac:dyDescent="0.25">
      <c r="A551" s="1"/>
      <c r="B551" s="4"/>
      <c r="C551" s="1"/>
      <c r="D551" s="1"/>
      <c r="E551" t="e">
        <f>VLOOKUP(Table_query3[[#This Row],[Metrics]],Metrics!A:C,3,0)</f>
        <v>#N/A</v>
      </c>
      <c r="F551" t="e">
        <f>VLOOKUP(Table_query3[[#This Row],[Metrics]],Metrics!A:C,2,0)</f>
        <v>#N/A</v>
      </c>
      <c r="H551" s="1"/>
    </row>
    <row r="552" spans="1:8" hidden="1" x14ac:dyDescent="0.25">
      <c r="A552" s="1"/>
      <c r="B552" s="4"/>
      <c r="C552" s="1"/>
      <c r="D552" s="1"/>
      <c r="E552" t="e">
        <f>VLOOKUP(Table_query3[[#This Row],[Metrics]],Metrics!A:C,3,0)</f>
        <v>#N/A</v>
      </c>
      <c r="F552" t="e">
        <f>VLOOKUP(Table_query3[[#This Row],[Metrics]],Metrics!A:C,2,0)</f>
        <v>#N/A</v>
      </c>
      <c r="H552" s="1"/>
    </row>
    <row r="553" spans="1:8" hidden="1" x14ac:dyDescent="0.25">
      <c r="A553" s="1"/>
      <c r="B553" s="4"/>
      <c r="C553" s="1"/>
      <c r="D553" s="1"/>
      <c r="E553" t="e">
        <f>VLOOKUP(Table_query3[[#This Row],[Metrics]],Metrics!A:C,3,0)</f>
        <v>#N/A</v>
      </c>
      <c r="F553" t="e">
        <f>VLOOKUP(Table_query3[[#This Row],[Metrics]],Metrics!A:C,2,0)</f>
        <v>#N/A</v>
      </c>
      <c r="H553" s="1"/>
    </row>
    <row r="554" spans="1:8" hidden="1" x14ac:dyDescent="0.25">
      <c r="A554" s="1"/>
      <c r="B554" s="4"/>
      <c r="C554" s="1"/>
      <c r="D554" s="1"/>
      <c r="E554" t="e">
        <f>VLOOKUP(Table_query3[[#This Row],[Metrics]],Metrics!A:C,3,0)</f>
        <v>#N/A</v>
      </c>
      <c r="F554" t="e">
        <f>VLOOKUP(Table_query3[[#This Row],[Metrics]],Metrics!A:C,2,0)</f>
        <v>#N/A</v>
      </c>
      <c r="H554" s="1"/>
    </row>
    <row r="555" spans="1:8" hidden="1" x14ac:dyDescent="0.25">
      <c r="A555" s="1"/>
      <c r="B555" s="4"/>
      <c r="C555" s="1"/>
      <c r="D555" s="1"/>
      <c r="E555" t="e">
        <f>VLOOKUP(Table_query3[[#This Row],[Metrics]],Metrics!A:C,3,0)</f>
        <v>#N/A</v>
      </c>
      <c r="F555" t="e">
        <f>VLOOKUP(Table_query3[[#This Row],[Metrics]],Metrics!A:C,2,0)</f>
        <v>#N/A</v>
      </c>
      <c r="H555" s="1"/>
    </row>
    <row r="556" spans="1:8" hidden="1" x14ac:dyDescent="0.25">
      <c r="A556" s="1"/>
      <c r="B556" s="4"/>
      <c r="C556" s="1"/>
      <c r="D556" s="1"/>
      <c r="E556" t="e">
        <f>VLOOKUP(Table_query3[[#This Row],[Metrics]],Metrics!A:C,3,0)</f>
        <v>#N/A</v>
      </c>
      <c r="F556" t="e">
        <f>VLOOKUP(Table_query3[[#This Row],[Metrics]],Metrics!A:C,2,0)</f>
        <v>#N/A</v>
      </c>
      <c r="H556" s="1"/>
    </row>
    <row r="557" spans="1:8" hidden="1" x14ac:dyDescent="0.25">
      <c r="A557" s="1"/>
      <c r="B557" s="4"/>
      <c r="C557" s="1"/>
      <c r="D557" s="1"/>
      <c r="E557" t="e">
        <f>VLOOKUP(Table_query3[[#This Row],[Metrics]],Metrics!A:C,3,0)</f>
        <v>#N/A</v>
      </c>
      <c r="F557" t="e">
        <f>VLOOKUP(Table_query3[[#This Row],[Metrics]],Metrics!A:C,2,0)</f>
        <v>#N/A</v>
      </c>
      <c r="H557" s="1"/>
    </row>
    <row r="558" spans="1:8" hidden="1" x14ac:dyDescent="0.25">
      <c r="A558" s="1"/>
      <c r="B558" s="4"/>
      <c r="C558" s="1"/>
      <c r="D558" s="1"/>
      <c r="E558" t="e">
        <f>VLOOKUP(Table_query3[[#This Row],[Metrics]],Metrics!A:C,3,0)</f>
        <v>#N/A</v>
      </c>
      <c r="F558" t="e">
        <f>VLOOKUP(Table_query3[[#This Row],[Metrics]],Metrics!A:C,2,0)</f>
        <v>#N/A</v>
      </c>
      <c r="H558" s="1"/>
    </row>
    <row r="559" spans="1:8" hidden="1" x14ac:dyDescent="0.25">
      <c r="A559" s="1"/>
      <c r="B559" s="4"/>
      <c r="C559" s="1"/>
      <c r="D559" s="1"/>
      <c r="E559" t="e">
        <f>VLOOKUP(Table_query3[[#This Row],[Metrics]],Metrics!A:C,3,0)</f>
        <v>#N/A</v>
      </c>
      <c r="F559" t="e">
        <f>VLOOKUP(Table_query3[[#This Row],[Metrics]],Metrics!A:C,2,0)</f>
        <v>#N/A</v>
      </c>
      <c r="H559" s="1"/>
    </row>
    <row r="560" spans="1:8" hidden="1" x14ac:dyDescent="0.25">
      <c r="A560" s="1"/>
      <c r="B560" s="4"/>
      <c r="C560" s="1"/>
      <c r="D560" s="1"/>
      <c r="E560" t="e">
        <f>VLOOKUP(Table_query3[[#This Row],[Metrics]],Metrics!A:C,3,0)</f>
        <v>#N/A</v>
      </c>
      <c r="F560" t="e">
        <f>VLOOKUP(Table_query3[[#This Row],[Metrics]],Metrics!A:C,2,0)</f>
        <v>#N/A</v>
      </c>
      <c r="H560" s="1"/>
    </row>
    <row r="561" spans="1:8" hidden="1" x14ac:dyDescent="0.25">
      <c r="A561" s="1"/>
      <c r="B561" s="4"/>
      <c r="C561" s="1"/>
      <c r="D561" s="1"/>
      <c r="E561" t="e">
        <f>VLOOKUP(Table_query3[[#This Row],[Metrics]],Metrics!A:C,3,0)</f>
        <v>#N/A</v>
      </c>
      <c r="F561" t="e">
        <f>VLOOKUP(Table_query3[[#This Row],[Metrics]],Metrics!A:C,2,0)</f>
        <v>#N/A</v>
      </c>
      <c r="H561" s="1"/>
    </row>
    <row r="562" spans="1:8" hidden="1" x14ac:dyDescent="0.25">
      <c r="A562" s="1"/>
      <c r="B562" s="4"/>
      <c r="C562" s="1"/>
      <c r="D562" s="1"/>
      <c r="E562" t="e">
        <f>VLOOKUP(Table_query3[[#This Row],[Metrics]],Metrics!A:C,3,0)</f>
        <v>#N/A</v>
      </c>
      <c r="F562" t="e">
        <f>VLOOKUP(Table_query3[[#This Row],[Metrics]],Metrics!A:C,2,0)</f>
        <v>#N/A</v>
      </c>
      <c r="H562" s="1"/>
    </row>
    <row r="563" spans="1:8" hidden="1" x14ac:dyDescent="0.25">
      <c r="A563" s="1"/>
      <c r="B563" s="4"/>
      <c r="C563" s="1"/>
      <c r="D563" s="1"/>
      <c r="E563" t="e">
        <f>VLOOKUP(Table_query3[[#This Row],[Metrics]],Metrics!A:C,3,0)</f>
        <v>#N/A</v>
      </c>
      <c r="F563" t="e">
        <f>VLOOKUP(Table_query3[[#This Row],[Metrics]],Metrics!A:C,2,0)</f>
        <v>#N/A</v>
      </c>
      <c r="H563" s="1"/>
    </row>
    <row r="564" spans="1:8" hidden="1" x14ac:dyDescent="0.25">
      <c r="A564" s="1"/>
      <c r="B564" s="4"/>
      <c r="C564" s="1"/>
      <c r="D564" s="1"/>
      <c r="E564" t="e">
        <f>VLOOKUP(Table_query3[[#This Row],[Metrics]],Metrics!A:C,3,0)</f>
        <v>#N/A</v>
      </c>
      <c r="F564" t="e">
        <f>VLOOKUP(Table_query3[[#This Row],[Metrics]],Metrics!A:C,2,0)</f>
        <v>#N/A</v>
      </c>
      <c r="H564" s="1"/>
    </row>
    <row r="565" spans="1:8" hidden="1" x14ac:dyDescent="0.25">
      <c r="A565" s="1"/>
      <c r="B565" s="4"/>
      <c r="C565" s="1"/>
      <c r="D565" s="1"/>
      <c r="E565" t="e">
        <f>VLOOKUP(Table_query3[[#This Row],[Metrics]],Metrics!A:C,3,0)</f>
        <v>#N/A</v>
      </c>
      <c r="F565" t="e">
        <f>VLOOKUP(Table_query3[[#This Row],[Metrics]],Metrics!A:C,2,0)</f>
        <v>#N/A</v>
      </c>
      <c r="H565" s="1"/>
    </row>
    <row r="566" spans="1:8" hidden="1" x14ac:dyDescent="0.25">
      <c r="A566" s="1"/>
      <c r="B566" s="4"/>
      <c r="C566" s="1"/>
      <c r="D566" s="1"/>
      <c r="E566" t="e">
        <f>VLOOKUP(Table_query3[[#This Row],[Metrics]],Metrics!A:C,3,0)</f>
        <v>#N/A</v>
      </c>
      <c r="F566" t="e">
        <f>VLOOKUP(Table_query3[[#This Row],[Metrics]],Metrics!A:C,2,0)</f>
        <v>#N/A</v>
      </c>
      <c r="H566" s="1"/>
    </row>
    <row r="567" spans="1:8" hidden="1" x14ac:dyDescent="0.25">
      <c r="A567" s="1"/>
      <c r="B567" s="4"/>
      <c r="C567" s="1"/>
      <c r="D567" s="1"/>
      <c r="E567" t="e">
        <f>VLOOKUP(Table_query3[[#This Row],[Metrics]],Metrics!A:C,3,0)</f>
        <v>#N/A</v>
      </c>
      <c r="F567" t="e">
        <f>VLOOKUP(Table_query3[[#This Row],[Metrics]],Metrics!A:C,2,0)</f>
        <v>#N/A</v>
      </c>
      <c r="H567" s="1"/>
    </row>
    <row r="568" spans="1:8" hidden="1" x14ac:dyDescent="0.25">
      <c r="A568" s="1"/>
      <c r="B568" s="4"/>
      <c r="C568" s="1"/>
      <c r="D568" s="1"/>
      <c r="E568" t="e">
        <f>VLOOKUP(Table_query3[[#This Row],[Metrics]],Metrics!A:C,3,0)</f>
        <v>#N/A</v>
      </c>
      <c r="F568" t="e">
        <f>VLOOKUP(Table_query3[[#This Row],[Metrics]],Metrics!A:C,2,0)</f>
        <v>#N/A</v>
      </c>
      <c r="H568" s="1"/>
    </row>
    <row r="569" spans="1:8" hidden="1" x14ac:dyDescent="0.25">
      <c r="A569" s="1"/>
      <c r="B569" s="4"/>
      <c r="C569" s="1"/>
      <c r="D569" s="1"/>
      <c r="E569" t="e">
        <f>VLOOKUP(Table_query3[[#This Row],[Metrics]],Metrics!A:C,3,0)</f>
        <v>#N/A</v>
      </c>
      <c r="F569" t="e">
        <f>VLOOKUP(Table_query3[[#This Row],[Metrics]],Metrics!A:C,2,0)</f>
        <v>#N/A</v>
      </c>
      <c r="H569" s="1"/>
    </row>
    <row r="570" spans="1:8" hidden="1" x14ac:dyDescent="0.25">
      <c r="A570" s="1"/>
      <c r="B570" s="4"/>
      <c r="C570" s="1"/>
      <c r="D570" s="1"/>
      <c r="E570" t="e">
        <f>VLOOKUP(Table_query3[[#This Row],[Metrics]],Metrics!A:C,3,0)</f>
        <v>#N/A</v>
      </c>
      <c r="F570" t="e">
        <f>VLOOKUP(Table_query3[[#This Row],[Metrics]],Metrics!A:C,2,0)</f>
        <v>#N/A</v>
      </c>
      <c r="H570" s="1"/>
    </row>
    <row r="571" spans="1:8" hidden="1" x14ac:dyDescent="0.25">
      <c r="A571" s="1"/>
      <c r="B571" s="4"/>
      <c r="C571" s="1"/>
      <c r="D571" s="1"/>
      <c r="E571" t="e">
        <f>VLOOKUP(Table_query3[[#This Row],[Metrics]],Metrics!A:C,3,0)</f>
        <v>#N/A</v>
      </c>
      <c r="F571" t="e">
        <f>VLOOKUP(Table_query3[[#This Row],[Metrics]],Metrics!A:C,2,0)</f>
        <v>#N/A</v>
      </c>
      <c r="H571" s="1"/>
    </row>
    <row r="572" spans="1:8" hidden="1" x14ac:dyDescent="0.25">
      <c r="A572" s="1"/>
      <c r="B572" s="4"/>
      <c r="C572" s="1"/>
      <c r="D572" s="1"/>
      <c r="E572" t="e">
        <f>VLOOKUP(Table_query3[[#This Row],[Metrics]],Metrics!A:C,3,0)</f>
        <v>#N/A</v>
      </c>
      <c r="F572" t="e">
        <f>VLOOKUP(Table_query3[[#This Row],[Metrics]],Metrics!A:C,2,0)</f>
        <v>#N/A</v>
      </c>
      <c r="H572" s="1"/>
    </row>
    <row r="573" spans="1:8" hidden="1" x14ac:dyDescent="0.25">
      <c r="A573" s="1"/>
      <c r="B573" s="4"/>
      <c r="C573" s="1"/>
      <c r="D573" s="1"/>
      <c r="E573" t="e">
        <f>VLOOKUP(Table_query3[[#This Row],[Metrics]],Metrics!A:C,3,0)</f>
        <v>#N/A</v>
      </c>
      <c r="F573" t="e">
        <f>VLOOKUP(Table_query3[[#This Row],[Metrics]],Metrics!A:C,2,0)</f>
        <v>#N/A</v>
      </c>
      <c r="H573" s="1"/>
    </row>
    <row r="574" spans="1:8" hidden="1" x14ac:dyDescent="0.25">
      <c r="A574" s="1"/>
      <c r="B574" s="4"/>
      <c r="C574" s="1"/>
      <c r="D574" s="1"/>
      <c r="E574" t="e">
        <f>VLOOKUP(Table_query3[[#This Row],[Metrics]],Metrics!A:C,3,0)</f>
        <v>#N/A</v>
      </c>
      <c r="F574" t="e">
        <f>VLOOKUP(Table_query3[[#This Row],[Metrics]],Metrics!A:C,2,0)</f>
        <v>#N/A</v>
      </c>
      <c r="H574" s="1"/>
    </row>
    <row r="575" spans="1:8" hidden="1" x14ac:dyDescent="0.25">
      <c r="A575" s="1"/>
      <c r="B575" s="4"/>
      <c r="C575" s="1"/>
      <c r="D575" s="1"/>
      <c r="E575" t="e">
        <f>VLOOKUP(Table_query3[[#This Row],[Metrics]],Metrics!A:C,3,0)</f>
        <v>#N/A</v>
      </c>
      <c r="F575" t="e">
        <f>VLOOKUP(Table_query3[[#This Row],[Metrics]],Metrics!A:C,2,0)</f>
        <v>#N/A</v>
      </c>
      <c r="H575" s="1"/>
    </row>
    <row r="576" spans="1:8" hidden="1" x14ac:dyDescent="0.25">
      <c r="A576" s="1"/>
      <c r="B576" s="4"/>
      <c r="C576" s="1"/>
      <c r="D576" s="1"/>
      <c r="E576" t="e">
        <f>VLOOKUP(Table_query3[[#This Row],[Metrics]],Metrics!A:C,3,0)</f>
        <v>#N/A</v>
      </c>
      <c r="F576" t="e">
        <f>VLOOKUP(Table_query3[[#This Row],[Metrics]],Metrics!A:C,2,0)</f>
        <v>#N/A</v>
      </c>
      <c r="H576" s="1"/>
    </row>
    <row r="577" spans="1:8" hidden="1" x14ac:dyDescent="0.25">
      <c r="A577" s="1"/>
      <c r="B577" s="4"/>
      <c r="C577" s="1"/>
      <c r="D577" s="1"/>
      <c r="E577" t="e">
        <f>VLOOKUP(Table_query3[[#This Row],[Metrics]],Metrics!A:C,3,0)</f>
        <v>#N/A</v>
      </c>
      <c r="F577" t="e">
        <f>VLOOKUP(Table_query3[[#This Row],[Metrics]],Metrics!A:C,2,0)</f>
        <v>#N/A</v>
      </c>
      <c r="H577" s="1"/>
    </row>
    <row r="578" spans="1:8" hidden="1" x14ac:dyDescent="0.25">
      <c r="A578" s="1"/>
      <c r="B578" s="4"/>
      <c r="C578" s="1"/>
      <c r="D578" s="1"/>
      <c r="E578" t="e">
        <f>VLOOKUP(Table_query3[[#This Row],[Metrics]],Metrics!A:C,3,0)</f>
        <v>#N/A</v>
      </c>
      <c r="F578" t="e">
        <f>VLOOKUP(Table_query3[[#This Row],[Metrics]],Metrics!A:C,2,0)</f>
        <v>#N/A</v>
      </c>
      <c r="H578" s="1"/>
    </row>
    <row r="579" spans="1:8" hidden="1" x14ac:dyDescent="0.25">
      <c r="A579" s="1"/>
      <c r="B579" s="4"/>
      <c r="C579" s="1"/>
      <c r="D579" s="1"/>
      <c r="E579" t="e">
        <f>VLOOKUP(Table_query3[[#This Row],[Metrics]],Metrics!A:C,3,0)</f>
        <v>#N/A</v>
      </c>
      <c r="F579" t="e">
        <f>VLOOKUP(Table_query3[[#This Row],[Metrics]],Metrics!A:C,2,0)</f>
        <v>#N/A</v>
      </c>
      <c r="H579" s="1"/>
    </row>
    <row r="580" spans="1:8" hidden="1" x14ac:dyDescent="0.25">
      <c r="A580" s="1"/>
      <c r="B580" s="4"/>
      <c r="C580" s="1"/>
      <c r="D580" s="1"/>
      <c r="E580" t="e">
        <f>VLOOKUP(Table_query3[[#This Row],[Metrics]],Metrics!A:C,3,0)</f>
        <v>#N/A</v>
      </c>
      <c r="F580" t="e">
        <f>VLOOKUP(Table_query3[[#This Row],[Metrics]],Metrics!A:C,2,0)</f>
        <v>#N/A</v>
      </c>
      <c r="H580" s="1"/>
    </row>
    <row r="581" spans="1:8" hidden="1" x14ac:dyDescent="0.25">
      <c r="A581" s="1"/>
      <c r="B581" s="4"/>
      <c r="C581" s="1"/>
      <c r="D581" s="1"/>
      <c r="E581" t="e">
        <f>VLOOKUP(Table_query3[[#This Row],[Metrics]],Metrics!A:C,3,0)</f>
        <v>#N/A</v>
      </c>
      <c r="F581" t="e">
        <f>VLOOKUP(Table_query3[[#This Row],[Metrics]],Metrics!A:C,2,0)</f>
        <v>#N/A</v>
      </c>
      <c r="H581" s="1"/>
    </row>
    <row r="582" spans="1:8" hidden="1" x14ac:dyDescent="0.25">
      <c r="A582" s="1"/>
      <c r="B582" s="4"/>
      <c r="C582" s="1"/>
      <c r="D582" s="1"/>
      <c r="E582" t="e">
        <f>VLOOKUP(Table_query3[[#This Row],[Metrics]],Metrics!A:C,3,0)</f>
        <v>#N/A</v>
      </c>
      <c r="F582" t="e">
        <f>VLOOKUP(Table_query3[[#This Row],[Metrics]],Metrics!A:C,2,0)</f>
        <v>#N/A</v>
      </c>
      <c r="H582" s="1"/>
    </row>
    <row r="583" spans="1:8" hidden="1" x14ac:dyDescent="0.25">
      <c r="A583" s="1"/>
      <c r="B583" s="4"/>
      <c r="C583" s="1"/>
      <c r="D583" s="1"/>
      <c r="E583" t="e">
        <f>VLOOKUP(Table_query3[[#This Row],[Metrics]],Metrics!A:C,3,0)</f>
        <v>#N/A</v>
      </c>
      <c r="F583" t="e">
        <f>VLOOKUP(Table_query3[[#This Row],[Metrics]],Metrics!A:C,2,0)</f>
        <v>#N/A</v>
      </c>
      <c r="H583" s="1"/>
    </row>
    <row r="584" spans="1:8" hidden="1" x14ac:dyDescent="0.25">
      <c r="A584" s="1"/>
      <c r="B584" s="4"/>
      <c r="C584" s="1"/>
      <c r="D584" s="1"/>
      <c r="E584" t="e">
        <f>VLOOKUP(Table_query3[[#This Row],[Metrics]],Metrics!A:C,3,0)</f>
        <v>#N/A</v>
      </c>
      <c r="F584" t="e">
        <f>VLOOKUP(Table_query3[[#This Row],[Metrics]],Metrics!A:C,2,0)</f>
        <v>#N/A</v>
      </c>
      <c r="H584" s="1"/>
    </row>
    <row r="585" spans="1:8" hidden="1" x14ac:dyDescent="0.25">
      <c r="A585" s="1"/>
      <c r="B585" s="4"/>
      <c r="C585" s="1"/>
      <c r="D585" s="1"/>
      <c r="E585" t="e">
        <f>VLOOKUP(Table_query3[[#This Row],[Metrics]],Metrics!A:C,3,0)</f>
        <v>#N/A</v>
      </c>
      <c r="F585" t="e">
        <f>VLOOKUP(Table_query3[[#This Row],[Metrics]],Metrics!A:C,2,0)</f>
        <v>#N/A</v>
      </c>
      <c r="H585" s="1"/>
    </row>
    <row r="586" spans="1:8" hidden="1" x14ac:dyDescent="0.25">
      <c r="A586" s="1"/>
      <c r="B586" s="4"/>
      <c r="C586" s="1"/>
      <c r="D586" s="1"/>
      <c r="E586" t="e">
        <f>VLOOKUP(Table_query3[[#This Row],[Metrics]],Metrics!A:C,3,0)</f>
        <v>#N/A</v>
      </c>
      <c r="F586" t="e">
        <f>VLOOKUP(Table_query3[[#This Row],[Metrics]],Metrics!A:C,2,0)</f>
        <v>#N/A</v>
      </c>
      <c r="H586" s="1"/>
    </row>
    <row r="587" spans="1:8" hidden="1" x14ac:dyDescent="0.25">
      <c r="A587" s="1"/>
      <c r="B587" s="4"/>
      <c r="C587" s="1"/>
      <c r="D587" s="1"/>
      <c r="E587" t="e">
        <f>VLOOKUP(Table_query3[[#This Row],[Metrics]],Metrics!A:C,3,0)</f>
        <v>#N/A</v>
      </c>
      <c r="F587" t="e">
        <f>VLOOKUP(Table_query3[[#This Row],[Metrics]],Metrics!A:C,2,0)</f>
        <v>#N/A</v>
      </c>
      <c r="H587" s="1"/>
    </row>
    <row r="588" spans="1:8" hidden="1" x14ac:dyDescent="0.25">
      <c r="A588" s="1"/>
      <c r="B588" s="4"/>
      <c r="C588" s="1"/>
      <c r="D588" s="1"/>
      <c r="E588" t="e">
        <f>VLOOKUP(Table_query3[[#This Row],[Metrics]],Metrics!A:C,3,0)</f>
        <v>#N/A</v>
      </c>
      <c r="F588" t="e">
        <f>VLOOKUP(Table_query3[[#This Row],[Metrics]],Metrics!A:C,2,0)</f>
        <v>#N/A</v>
      </c>
      <c r="H588" s="1"/>
    </row>
    <row r="589" spans="1:8" hidden="1" x14ac:dyDescent="0.25">
      <c r="A589" s="1"/>
      <c r="B589" s="4"/>
      <c r="C589" s="1"/>
      <c r="D589" s="1"/>
      <c r="E589" t="e">
        <f>VLOOKUP(Table_query3[[#This Row],[Metrics]],Metrics!A:C,3,0)</f>
        <v>#N/A</v>
      </c>
      <c r="F589" t="e">
        <f>VLOOKUP(Table_query3[[#This Row],[Metrics]],Metrics!A:C,2,0)</f>
        <v>#N/A</v>
      </c>
      <c r="H589" s="1"/>
    </row>
    <row r="590" spans="1:8" hidden="1" x14ac:dyDescent="0.25">
      <c r="A590" s="1"/>
      <c r="B590" s="4"/>
      <c r="C590" s="1"/>
      <c r="D590" s="1"/>
      <c r="E590" t="e">
        <f>VLOOKUP(Table_query3[[#This Row],[Metrics]],Metrics!A:C,3,0)</f>
        <v>#N/A</v>
      </c>
      <c r="F590" t="e">
        <f>VLOOKUP(Table_query3[[#This Row],[Metrics]],Metrics!A:C,2,0)</f>
        <v>#N/A</v>
      </c>
      <c r="H590" s="1"/>
    </row>
    <row r="591" spans="1:8" hidden="1" x14ac:dyDescent="0.25">
      <c r="A591" s="1"/>
      <c r="B591" s="4"/>
      <c r="C591" s="1"/>
      <c r="D591" s="1"/>
      <c r="E591" t="e">
        <f>VLOOKUP(Table_query3[[#This Row],[Metrics]],Metrics!A:C,3,0)</f>
        <v>#N/A</v>
      </c>
      <c r="F591" t="e">
        <f>VLOOKUP(Table_query3[[#This Row],[Metrics]],Metrics!A:C,2,0)</f>
        <v>#N/A</v>
      </c>
      <c r="H591" s="1"/>
    </row>
    <row r="592" spans="1:8" hidden="1" x14ac:dyDescent="0.25">
      <c r="A592" s="1"/>
      <c r="B592" s="4"/>
      <c r="C592" s="1"/>
      <c r="D592" s="1"/>
      <c r="E592" t="e">
        <f>VLOOKUP(Table_query3[[#This Row],[Metrics]],Metrics!A:C,3,0)</f>
        <v>#N/A</v>
      </c>
      <c r="F592" t="e">
        <f>VLOOKUP(Table_query3[[#This Row],[Metrics]],Metrics!A:C,2,0)</f>
        <v>#N/A</v>
      </c>
      <c r="H592" s="1"/>
    </row>
    <row r="593" spans="1:8" hidden="1" x14ac:dyDescent="0.25">
      <c r="A593" s="1"/>
      <c r="B593" s="4"/>
      <c r="C593" s="1"/>
      <c r="D593" s="1"/>
      <c r="E593" t="e">
        <f>VLOOKUP(Table_query3[[#This Row],[Metrics]],Metrics!A:C,3,0)</f>
        <v>#N/A</v>
      </c>
      <c r="F593" t="e">
        <f>VLOOKUP(Table_query3[[#This Row],[Metrics]],Metrics!A:C,2,0)</f>
        <v>#N/A</v>
      </c>
      <c r="H593" s="1"/>
    </row>
    <row r="594" spans="1:8" hidden="1" x14ac:dyDescent="0.25">
      <c r="A594" s="1"/>
      <c r="B594" s="4"/>
      <c r="C594" s="1"/>
      <c r="D594" s="1"/>
      <c r="E594" t="e">
        <f>VLOOKUP(Table_query3[[#This Row],[Metrics]],Metrics!A:C,3,0)</f>
        <v>#N/A</v>
      </c>
      <c r="F594" t="e">
        <f>VLOOKUP(Table_query3[[#This Row],[Metrics]],Metrics!A:C,2,0)</f>
        <v>#N/A</v>
      </c>
      <c r="H594" s="1"/>
    </row>
    <row r="595" spans="1:8" hidden="1" x14ac:dyDescent="0.25">
      <c r="A595" s="1"/>
      <c r="B595" s="4"/>
      <c r="C595" s="1"/>
      <c r="D595" s="1"/>
      <c r="E595" t="e">
        <f>VLOOKUP(Table_query3[[#This Row],[Metrics]],Metrics!A:C,3,0)</f>
        <v>#N/A</v>
      </c>
      <c r="F595" t="e">
        <f>VLOOKUP(Table_query3[[#This Row],[Metrics]],Metrics!A:C,2,0)</f>
        <v>#N/A</v>
      </c>
      <c r="H595" s="1"/>
    </row>
    <row r="596" spans="1:8" hidden="1" x14ac:dyDescent="0.25">
      <c r="A596" s="1"/>
      <c r="B596" s="4"/>
      <c r="C596" s="1"/>
      <c r="D596" s="1"/>
      <c r="E596" t="e">
        <f>VLOOKUP(Table_query3[[#This Row],[Metrics]],Metrics!A:C,3,0)</f>
        <v>#N/A</v>
      </c>
      <c r="F596" t="e">
        <f>VLOOKUP(Table_query3[[#This Row],[Metrics]],Metrics!A:C,2,0)</f>
        <v>#N/A</v>
      </c>
      <c r="H596" s="1"/>
    </row>
    <row r="597" spans="1:8" hidden="1" x14ac:dyDescent="0.25">
      <c r="A597" s="1"/>
      <c r="B597" s="4"/>
      <c r="C597" s="1"/>
      <c r="D597" s="1"/>
      <c r="E597" t="e">
        <f>VLOOKUP(Table_query3[[#This Row],[Metrics]],Metrics!A:C,3,0)</f>
        <v>#N/A</v>
      </c>
      <c r="F597" t="e">
        <f>VLOOKUP(Table_query3[[#This Row],[Metrics]],Metrics!A:C,2,0)</f>
        <v>#N/A</v>
      </c>
      <c r="H597" s="1"/>
    </row>
    <row r="598" spans="1:8" hidden="1" x14ac:dyDescent="0.25">
      <c r="A598" s="1"/>
      <c r="B598" s="4"/>
      <c r="C598" s="1"/>
      <c r="D598" s="1"/>
      <c r="E598" t="e">
        <f>VLOOKUP(Table_query3[[#This Row],[Metrics]],Metrics!A:C,3,0)</f>
        <v>#N/A</v>
      </c>
      <c r="F598" t="e">
        <f>VLOOKUP(Table_query3[[#This Row],[Metrics]],Metrics!A:C,2,0)</f>
        <v>#N/A</v>
      </c>
      <c r="H598" s="1"/>
    </row>
    <row r="599" spans="1:8" hidden="1" x14ac:dyDescent="0.25">
      <c r="A599" s="1"/>
      <c r="B599" s="4"/>
      <c r="C599" s="1"/>
      <c r="D599" s="1"/>
      <c r="E599" t="e">
        <f>VLOOKUP(Table_query3[[#This Row],[Metrics]],Metrics!A:C,3,0)</f>
        <v>#N/A</v>
      </c>
      <c r="F599" t="e">
        <f>VLOOKUP(Table_query3[[#This Row],[Metrics]],Metrics!A:C,2,0)</f>
        <v>#N/A</v>
      </c>
      <c r="H599" s="1"/>
    </row>
    <row r="600" spans="1:8" hidden="1" x14ac:dyDescent="0.25">
      <c r="A600" s="1"/>
      <c r="B600" s="4"/>
      <c r="C600" s="1"/>
      <c r="D600" s="1"/>
      <c r="E600" t="e">
        <f>VLOOKUP(Table_query3[[#This Row],[Metrics]],Metrics!A:C,3,0)</f>
        <v>#N/A</v>
      </c>
      <c r="F600" t="e">
        <f>VLOOKUP(Table_query3[[#This Row],[Metrics]],Metrics!A:C,2,0)</f>
        <v>#N/A</v>
      </c>
      <c r="H600" s="1"/>
    </row>
    <row r="601" spans="1:8" hidden="1" x14ac:dyDescent="0.25">
      <c r="A601" s="1"/>
      <c r="B601" s="4"/>
      <c r="C601" s="1"/>
      <c r="D601" s="1"/>
      <c r="E601" t="e">
        <f>VLOOKUP(Table_query3[[#This Row],[Metrics]],Metrics!A:C,3,0)</f>
        <v>#N/A</v>
      </c>
      <c r="F601" t="e">
        <f>VLOOKUP(Table_query3[[#This Row],[Metrics]],Metrics!A:C,2,0)</f>
        <v>#N/A</v>
      </c>
      <c r="H601" s="1"/>
    </row>
    <row r="602" spans="1:8" hidden="1" x14ac:dyDescent="0.25">
      <c r="A602" s="1"/>
      <c r="B602" s="4"/>
      <c r="C602" s="1"/>
      <c r="D602" s="1"/>
      <c r="E602" t="e">
        <f>VLOOKUP(Table_query3[[#This Row],[Metrics]],Metrics!A:C,3,0)</f>
        <v>#N/A</v>
      </c>
      <c r="F602" t="e">
        <f>VLOOKUP(Table_query3[[#This Row],[Metrics]],Metrics!A:C,2,0)</f>
        <v>#N/A</v>
      </c>
      <c r="H602" s="1"/>
    </row>
    <row r="603" spans="1:8" hidden="1" x14ac:dyDescent="0.25">
      <c r="A603" s="1"/>
      <c r="B603" s="4"/>
      <c r="C603" s="1"/>
      <c r="D603" s="1"/>
      <c r="E603" t="e">
        <f>VLOOKUP(Table_query3[[#This Row],[Metrics]],Metrics!A:C,3,0)</f>
        <v>#N/A</v>
      </c>
      <c r="F603" t="e">
        <f>VLOOKUP(Table_query3[[#This Row],[Metrics]],Metrics!A:C,2,0)</f>
        <v>#N/A</v>
      </c>
      <c r="H603" s="1"/>
    </row>
    <row r="604" spans="1:8" hidden="1" x14ac:dyDescent="0.25">
      <c r="A604" s="1"/>
      <c r="B604" s="4"/>
      <c r="C604" s="1"/>
      <c r="D604" s="1"/>
      <c r="E604" t="e">
        <f>VLOOKUP(Table_query3[[#This Row],[Metrics]],Metrics!A:C,3,0)</f>
        <v>#N/A</v>
      </c>
      <c r="F604" t="e">
        <f>VLOOKUP(Table_query3[[#This Row],[Metrics]],Metrics!A:C,2,0)</f>
        <v>#N/A</v>
      </c>
      <c r="H604" s="1"/>
    </row>
    <row r="605" spans="1:8" hidden="1" x14ac:dyDescent="0.25">
      <c r="A605" s="1"/>
      <c r="B605" s="4"/>
      <c r="C605" s="1"/>
      <c r="D605" s="1"/>
      <c r="E605" t="e">
        <f>VLOOKUP(Table_query3[[#This Row],[Metrics]],Metrics!A:C,3,0)</f>
        <v>#N/A</v>
      </c>
      <c r="F605" t="e">
        <f>VLOOKUP(Table_query3[[#This Row],[Metrics]],Metrics!A:C,2,0)</f>
        <v>#N/A</v>
      </c>
      <c r="H605" s="1"/>
    </row>
    <row r="606" spans="1:8" x14ac:dyDescent="0.25">
      <c r="A606" s="1" t="s">
        <v>3</v>
      </c>
      <c r="B606" s="4">
        <v>43497</v>
      </c>
      <c r="C606" s="1"/>
      <c r="D606" s="1" t="s">
        <v>40</v>
      </c>
      <c r="E606" s="1" t="s">
        <v>25</v>
      </c>
      <c r="F606" s="1"/>
      <c r="G606">
        <v>99.983999999999995</v>
      </c>
      <c r="H606" s="1"/>
    </row>
    <row r="607" spans="1:8" x14ac:dyDescent="0.25">
      <c r="A607" s="1" t="s">
        <v>3</v>
      </c>
      <c r="B607" s="4">
        <v>43497</v>
      </c>
      <c r="C607" s="1"/>
      <c r="D607" s="1" t="s">
        <v>39</v>
      </c>
      <c r="E607" s="1" t="s">
        <v>25</v>
      </c>
      <c r="F607" s="1"/>
      <c r="G607">
        <v>70</v>
      </c>
      <c r="H607" s="1"/>
    </row>
    <row r="608" spans="1:8" x14ac:dyDescent="0.25">
      <c r="A608" s="1" t="s">
        <v>3</v>
      </c>
      <c r="B608" s="4">
        <v>43497</v>
      </c>
      <c r="C608" s="1"/>
      <c r="D608" s="1" t="s">
        <v>38</v>
      </c>
      <c r="E608" s="1" t="s">
        <v>90</v>
      </c>
      <c r="F608" s="1"/>
      <c r="G608">
        <v>97</v>
      </c>
      <c r="H608" s="1"/>
    </row>
    <row r="609" spans="1:8" x14ac:dyDescent="0.25">
      <c r="A609" s="1" t="s">
        <v>3</v>
      </c>
      <c r="B609" s="4">
        <v>43497</v>
      </c>
      <c r="C609" s="1"/>
      <c r="D609" s="1" t="s">
        <v>36</v>
      </c>
      <c r="E609" s="1" t="s">
        <v>17</v>
      </c>
      <c r="F609" s="1"/>
      <c r="G609">
        <v>17</v>
      </c>
      <c r="H609" s="1"/>
    </row>
    <row r="610" spans="1:8" x14ac:dyDescent="0.25">
      <c r="A610" s="1" t="s">
        <v>3</v>
      </c>
      <c r="B610" s="4">
        <v>43497</v>
      </c>
      <c r="C610" s="1"/>
      <c r="D610" s="1" t="s">
        <v>35</v>
      </c>
      <c r="E610" s="1" t="s">
        <v>17</v>
      </c>
      <c r="F610" s="1"/>
      <c r="G610">
        <v>0</v>
      </c>
      <c r="H610" s="1"/>
    </row>
    <row r="611" spans="1:8" x14ac:dyDescent="0.25">
      <c r="A611" s="1" t="s">
        <v>3</v>
      </c>
      <c r="B611" s="4">
        <v>43497</v>
      </c>
      <c r="C611" s="1"/>
      <c r="D611" s="1" t="s">
        <v>87</v>
      </c>
      <c r="E611" s="1" t="s">
        <v>31</v>
      </c>
      <c r="F611" s="1"/>
      <c r="G611">
        <v>100</v>
      </c>
      <c r="H611" s="1"/>
    </row>
    <row r="612" spans="1:8" x14ac:dyDescent="0.25">
      <c r="A612" s="1" t="s">
        <v>3</v>
      </c>
      <c r="B612" s="4">
        <v>43497</v>
      </c>
      <c r="C612" s="1"/>
      <c r="D612" s="1" t="s">
        <v>70</v>
      </c>
      <c r="E612" s="1" t="s">
        <v>33</v>
      </c>
      <c r="F612" s="1"/>
      <c r="G612">
        <v>100</v>
      </c>
      <c r="H612" s="1"/>
    </row>
    <row r="613" spans="1:8" x14ac:dyDescent="0.25">
      <c r="A613" s="1" t="s">
        <v>3</v>
      </c>
      <c r="B613" s="4">
        <v>43497</v>
      </c>
      <c r="C613" s="1"/>
      <c r="D613" s="1" t="s">
        <v>72</v>
      </c>
      <c r="E613" s="1" t="s">
        <v>31</v>
      </c>
      <c r="F613" s="1"/>
      <c r="G613">
        <v>97.4</v>
      </c>
      <c r="H613" s="1"/>
    </row>
    <row r="614" spans="1:8" x14ac:dyDescent="0.25">
      <c r="A614" s="1" t="s">
        <v>3</v>
      </c>
      <c r="B614" s="4">
        <v>43497</v>
      </c>
      <c r="C614" s="1"/>
      <c r="D614" s="1" t="s">
        <v>86</v>
      </c>
      <c r="E614" s="1" t="s">
        <v>91</v>
      </c>
      <c r="F614" s="1"/>
      <c r="G614">
        <v>1757</v>
      </c>
      <c r="H614" s="1"/>
    </row>
    <row r="615" spans="1:8" x14ac:dyDescent="0.25">
      <c r="A615" s="1" t="s">
        <v>3</v>
      </c>
      <c r="B615" s="4">
        <v>43497</v>
      </c>
      <c r="C615" s="1"/>
      <c r="D615" s="1" t="s">
        <v>30</v>
      </c>
      <c r="E615" s="1" t="s">
        <v>91</v>
      </c>
      <c r="F615" s="1"/>
      <c r="G615">
        <v>11</v>
      </c>
      <c r="H615" s="1"/>
    </row>
    <row r="616" spans="1:8" x14ac:dyDescent="0.25">
      <c r="A616" s="1" t="s">
        <v>3</v>
      </c>
      <c r="B616" s="4">
        <v>43497</v>
      </c>
      <c r="C616" s="1"/>
      <c r="D616" s="1" t="s">
        <v>29</v>
      </c>
      <c r="E616" s="1" t="s">
        <v>91</v>
      </c>
      <c r="F616" s="1"/>
      <c r="G616">
        <v>6</v>
      </c>
      <c r="H616" s="1"/>
    </row>
    <row r="617" spans="1:8" x14ac:dyDescent="0.25">
      <c r="A617" s="1" t="s">
        <v>3</v>
      </c>
      <c r="B617" s="17">
        <v>43466</v>
      </c>
      <c r="C617" s="1"/>
      <c r="D617" s="1" t="s">
        <v>44</v>
      </c>
      <c r="E617" t="s">
        <v>22</v>
      </c>
      <c r="F617" s="1"/>
      <c r="G617">
        <v>100</v>
      </c>
      <c r="H617" s="1"/>
    </row>
    <row r="618" spans="1:8" x14ac:dyDescent="0.25">
      <c r="A618" s="1" t="s">
        <v>3</v>
      </c>
      <c r="B618" s="17">
        <v>43466</v>
      </c>
      <c r="C618" s="1"/>
      <c r="D618" s="1" t="s">
        <v>43</v>
      </c>
      <c r="E618" t="s">
        <v>22</v>
      </c>
      <c r="F618" s="1"/>
      <c r="G618">
        <v>100</v>
      </c>
      <c r="H618" s="1"/>
    </row>
    <row r="619" spans="1:8" x14ac:dyDescent="0.25">
      <c r="A619" s="1" t="s">
        <v>3</v>
      </c>
      <c r="B619" s="17">
        <v>43466</v>
      </c>
      <c r="C619" s="1"/>
      <c r="D619" s="1" t="s">
        <v>42</v>
      </c>
      <c r="E619" t="s">
        <v>22</v>
      </c>
      <c r="F619" s="1"/>
      <c r="G619">
        <v>100</v>
      </c>
      <c r="H619" s="1"/>
    </row>
    <row r="620" spans="1:8" x14ac:dyDescent="0.25">
      <c r="A620" s="1" t="s">
        <v>3</v>
      </c>
      <c r="B620" s="17">
        <v>43466</v>
      </c>
      <c r="C620" s="1"/>
      <c r="D620" s="1" t="s">
        <v>41</v>
      </c>
      <c r="E620" t="s">
        <v>22</v>
      </c>
      <c r="F620" s="1"/>
      <c r="G620">
        <v>100</v>
      </c>
      <c r="H620" s="1"/>
    </row>
    <row r="621" spans="1:8" x14ac:dyDescent="0.25">
      <c r="A621" s="1" t="s">
        <v>3</v>
      </c>
      <c r="B621" s="17">
        <v>43466</v>
      </c>
      <c r="C621" s="1"/>
      <c r="D621" s="1" t="s">
        <v>40</v>
      </c>
      <c r="E621" s="1" t="s">
        <v>25</v>
      </c>
      <c r="F621" s="1"/>
      <c r="G621">
        <v>99.98</v>
      </c>
      <c r="H621" s="1"/>
    </row>
    <row r="622" spans="1:8" x14ac:dyDescent="0.25">
      <c r="A622" s="1" t="s">
        <v>3</v>
      </c>
      <c r="B622" s="17">
        <v>43466</v>
      </c>
      <c r="C622" s="1"/>
      <c r="D622" s="1" t="s">
        <v>39</v>
      </c>
      <c r="E622" s="1" t="s">
        <v>25</v>
      </c>
      <c r="F622" s="1"/>
      <c r="G622">
        <v>119</v>
      </c>
      <c r="H622" s="1"/>
    </row>
    <row r="623" spans="1:8" x14ac:dyDescent="0.25">
      <c r="A623" s="1" t="s">
        <v>3</v>
      </c>
      <c r="B623" s="17">
        <v>43466</v>
      </c>
      <c r="C623" s="1"/>
      <c r="D623" s="1" t="s">
        <v>38</v>
      </c>
      <c r="E623" s="1" t="s">
        <v>90</v>
      </c>
      <c r="F623" s="1"/>
      <c r="G623">
        <v>98</v>
      </c>
      <c r="H623" s="1"/>
    </row>
    <row r="624" spans="1:8" x14ac:dyDescent="0.25">
      <c r="A624" s="1" t="s">
        <v>3</v>
      </c>
      <c r="B624" s="17">
        <v>43466</v>
      </c>
      <c r="C624" s="1"/>
      <c r="D624" s="1" t="s">
        <v>36</v>
      </c>
      <c r="E624" s="1" t="s">
        <v>17</v>
      </c>
      <c r="F624" s="1"/>
      <c r="G624">
        <v>77</v>
      </c>
      <c r="H624" s="1"/>
    </row>
    <row r="625" spans="1:8" x14ac:dyDescent="0.25">
      <c r="A625" s="1" t="s">
        <v>3</v>
      </c>
      <c r="B625" s="17">
        <v>43466</v>
      </c>
      <c r="C625" s="1"/>
      <c r="D625" s="1" t="s">
        <v>35</v>
      </c>
      <c r="E625" s="1" t="s">
        <v>17</v>
      </c>
      <c r="F625" s="1"/>
      <c r="G625">
        <v>4.17</v>
      </c>
      <c r="H625" s="1"/>
    </row>
    <row r="626" spans="1:8" x14ac:dyDescent="0.25">
      <c r="A626" s="1" t="s">
        <v>3</v>
      </c>
      <c r="B626" s="17">
        <v>43466</v>
      </c>
      <c r="C626" s="1"/>
      <c r="D626" s="1" t="s">
        <v>87</v>
      </c>
      <c r="E626" s="1" t="s">
        <v>31</v>
      </c>
      <c r="F626" s="1"/>
      <c r="G626">
        <v>100</v>
      </c>
      <c r="H626" s="1"/>
    </row>
    <row r="627" spans="1:8" x14ac:dyDescent="0.25">
      <c r="A627" s="1" t="s">
        <v>3</v>
      </c>
      <c r="B627" s="17">
        <v>43466</v>
      </c>
      <c r="C627" s="1"/>
      <c r="D627" s="1" t="s">
        <v>70</v>
      </c>
      <c r="E627" s="1" t="s">
        <v>33</v>
      </c>
      <c r="F627" s="1"/>
      <c r="G627">
        <v>100</v>
      </c>
      <c r="H627" s="1"/>
    </row>
    <row r="628" spans="1:8" x14ac:dyDescent="0.25">
      <c r="A628" s="1" t="s">
        <v>3</v>
      </c>
      <c r="B628" s="17">
        <v>43466</v>
      </c>
      <c r="C628" s="1"/>
      <c r="D628" s="1" t="s">
        <v>72</v>
      </c>
      <c r="E628" s="1" t="s">
        <v>31</v>
      </c>
      <c r="F628" s="1"/>
      <c r="G628">
        <v>97.4</v>
      </c>
      <c r="H628" s="1"/>
    </row>
    <row r="629" spans="1:8" x14ac:dyDescent="0.25">
      <c r="A629" s="1" t="s">
        <v>3</v>
      </c>
      <c r="B629" s="17">
        <v>43466</v>
      </c>
      <c r="C629" s="1"/>
      <c r="D629" s="1" t="s">
        <v>86</v>
      </c>
      <c r="E629" s="1" t="s">
        <v>91</v>
      </c>
      <c r="F629" s="1"/>
      <c r="G629">
        <v>1622</v>
      </c>
      <c r="H629" s="1"/>
    </row>
    <row r="630" spans="1:8" x14ac:dyDescent="0.25">
      <c r="A630" s="1" t="s">
        <v>3</v>
      </c>
      <c r="B630" s="17">
        <v>43466</v>
      </c>
      <c r="C630" s="1"/>
      <c r="D630" s="1" t="s">
        <v>30</v>
      </c>
      <c r="E630" s="1" t="s">
        <v>91</v>
      </c>
      <c r="F630" s="1"/>
      <c r="G630">
        <v>10</v>
      </c>
      <c r="H630" s="1"/>
    </row>
    <row r="631" spans="1:8" x14ac:dyDescent="0.25">
      <c r="A631" s="1" t="s">
        <v>3</v>
      </c>
      <c r="B631" s="17">
        <v>43466</v>
      </c>
      <c r="C631" s="1"/>
      <c r="D631" s="1" t="s">
        <v>29</v>
      </c>
      <c r="E631" s="1" t="s">
        <v>91</v>
      </c>
      <c r="F631" s="1"/>
      <c r="G631">
        <v>5</v>
      </c>
      <c r="H631" s="1"/>
    </row>
    <row r="632" spans="1:8" x14ac:dyDescent="0.25">
      <c r="A632" s="1" t="s">
        <v>3</v>
      </c>
      <c r="B632" s="17">
        <v>43435</v>
      </c>
      <c r="C632" s="1"/>
      <c r="D632" s="1" t="s">
        <v>44</v>
      </c>
      <c r="E632" t="str">
        <f>VLOOKUP(Table_query3[[#This Row],[Metrics]],Metrics!A:C,3,0)</f>
        <v>Incident</v>
      </c>
      <c r="F632" s="1"/>
      <c r="G632">
        <v>100</v>
      </c>
      <c r="H632" s="1"/>
    </row>
    <row r="633" spans="1:8" x14ac:dyDescent="0.25">
      <c r="A633" s="1" t="s">
        <v>3</v>
      </c>
      <c r="B633" s="17">
        <v>43435</v>
      </c>
      <c r="C633" s="1"/>
      <c r="D633" s="1" t="s">
        <v>43</v>
      </c>
      <c r="E633" t="str">
        <f>VLOOKUP(Table_query3[[#This Row],[Metrics]],Metrics!A:C,3,0)</f>
        <v>Incident</v>
      </c>
      <c r="F633" s="1"/>
      <c r="G633">
        <v>100</v>
      </c>
      <c r="H633" s="1"/>
    </row>
    <row r="634" spans="1:8" x14ac:dyDescent="0.25">
      <c r="A634" s="1" t="s">
        <v>3</v>
      </c>
      <c r="B634" s="17">
        <v>43435</v>
      </c>
      <c r="C634" s="1"/>
      <c r="D634" s="1" t="s">
        <v>42</v>
      </c>
      <c r="E634" t="str">
        <f>VLOOKUP(Table_query3[[#This Row],[Metrics]],Metrics!A:C,3,0)</f>
        <v>Incident</v>
      </c>
      <c r="F634" s="1"/>
      <c r="G634">
        <v>100</v>
      </c>
      <c r="H634" s="1"/>
    </row>
    <row r="635" spans="1:8" x14ac:dyDescent="0.25">
      <c r="A635" s="1" t="s">
        <v>3</v>
      </c>
      <c r="B635" s="17">
        <v>43435</v>
      </c>
      <c r="C635" s="1"/>
      <c r="D635" s="1" t="s">
        <v>41</v>
      </c>
      <c r="E635" t="str">
        <f>VLOOKUP(Table_query3[[#This Row],[Metrics]],Metrics!A:C,3,0)</f>
        <v>Incident</v>
      </c>
      <c r="F635" s="1"/>
      <c r="G635">
        <v>100</v>
      </c>
      <c r="H635" s="1"/>
    </row>
    <row r="636" spans="1:8" x14ac:dyDescent="0.25">
      <c r="A636" s="1" t="s">
        <v>3</v>
      </c>
      <c r="B636" s="17">
        <v>43435</v>
      </c>
      <c r="C636" s="1"/>
      <c r="D636" s="1" t="s">
        <v>40</v>
      </c>
      <c r="E636" s="1" t="s">
        <v>25</v>
      </c>
      <c r="F636" s="1"/>
      <c r="G636">
        <v>99.98</v>
      </c>
      <c r="H636" s="1"/>
    </row>
    <row r="637" spans="1:8" x14ac:dyDescent="0.25">
      <c r="A637" s="1" t="s">
        <v>3</v>
      </c>
      <c r="B637" s="17">
        <v>43435</v>
      </c>
      <c r="C637" s="1"/>
      <c r="D637" s="1" t="s">
        <v>39</v>
      </c>
      <c r="E637" s="1" t="s">
        <v>25</v>
      </c>
      <c r="F637" s="1"/>
      <c r="G637">
        <v>74</v>
      </c>
      <c r="H637" s="1"/>
    </row>
    <row r="638" spans="1:8" x14ac:dyDescent="0.25">
      <c r="A638" s="1" t="s">
        <v>3</v>
      </c>
      <c r="B638" s="17">
        <v>43435</v>
      </c>
      <c r="C638" s="1"/>
      <c r="D638" s="1" t="s">
        <v>38</v>
      </c>
      <c r="E638" s="1" t="s">
        <v>90</v>
      </c>
      <c r="F638" s="1"/>
      <c r="G638">
        <v>98.5</v>
      </c>
      <c r="H638" s="1"/>
    </row>
    <row r="639" spans="1:8" x14ac:dyDescent="0.25">
      <c r="A639" s="1" t="s">
        <v>3</v>
      </c>
      <c r="B639" s="17">
        <v>43435</v>
      </c>
      <c r="C639" s="1"/>
      <c r="D639" s="1" t="s">
        <v>36</v>
      </c>
      <c r="E639" s="1" t="s">
        <v>17</v>
      </c>
      <c r="F639" s="1"/>
      <c r="G639">
        <v>70</v>
      </c>
      <c r="H639" s="1"/>
    </row>
    <row r="640" spans="1:8" x14ac:dyDescent="0.25">
      <c r="A640" s="1" t="s">
        <v>3</v>
      </c>
      <c r="B640" s="17">
        <v>43435</v>
      </c>
      <c r="C640" s="1"/>
      <c r="D640" s="1" t="s">
        <v>35</v>
      </c>
      <c r="E640" s="1" t="s">
        <v>17</v>
      </c>
      <c r="F640" s="1"/>
      <c r="G640">
        <v>0</v>
      </c>
      <c r="H640" s="1"/>
    </row>
    <row r="641" spans="1:8" x14ac:dyDescent="0.25">
      <c r="A641" s="1" t="s">
        <v>3</v>
      </c>
      <c r="B641" s="17">
        <v>43435</v>
      </c>
      <c r="C641" s="1"/>
      <c r="D641" s="1" t="s">
        <v>87</v>
      </c>
      <c r="E641" s="1" t="s">
        <v>31</v>
      </c>
      <c r="F641" s="1"/>
      <c r="G641">
        <v>100</v>
      </c>
      <c r="H641" s="1"/>
    </row>
    <row r="642" spans="1:8" x14ac:dyDescent="0.25">
      <c r="A642" s="1" t="s">
        <v>3</v>
      </c>
      <c r="B642" s="17">
        <v>43435</v>
      </c>
      <c r="C642" s="1"/>
      <c r="D642" s="1" t="s">
        <v>70</v>
      </c>
      <c r="E642" s="1" t="s">
        <v>33</v>
      </c>
      <c r="F642" s="1"/>
      <c r="G642">
        <v>100</v>
      </c>
      <c r="H642" s="1"/>
    </row>
    <row r="643" spans="1:8" x14ac:dyDescent="0.25">
      <c r="A643" s="1" t="s">
        <v>3</v>
      </c>
      <c r="B643" s="17">
        <v>43435</v>
      </c>
      <c r="C643" s="1"/>
      <c r="D643" s="1" t="s">
        <v>72</v>
      </c>
      <c r="E643" s="1" t="s">
        <v>31</v>
      </c>
      <c r="F643" s="1"/>
      <c r="G643">
        <v>97.4</v>
      </c>
      <c r="H643" s="1"/>
    </row>
    <row r="644" spans="1:8" x14ac:dyDescent="0.25">
      <c r="A644" s="1" t="s">
        <v>3</v>
      </c>
      <c r="B644" s="17">
        <v>43435</v>
      </c>
      <c r="C644" s="1"/>
      <c r="D644" s="1" t="s">
        <v>21</v>
      </c>
      <c r="E644" s="1" t="s">
        <v>91</v>
      </c>
      <c r="F644" s="1"/>
      <c r="G644">
        <v>1598</v>
      </c>
      <c r="H644" s="1"/>
    </row>
    <row r="645" spans="1:8" x14ac:dyDescent="0.25">
      <c r="A645" s="1" t="s">
        <v>3</v>
      </c>
      <c r="B645" s="17">
        <v>43435</v>
      </c>
      <c r="C645" s="1"/>
      <c r="D645" s="1" t="s">
        <v>30</v>
      </c>
      <c r="E645" s="1" t="s">
        <v>91</v>
      </c>
      <c r="F645" s="1"/>
      <c r="G645">
        <v>9</v>
      </c>
      <c r="H645" s="1"/>
    </row>
    <row r="646" spans="1:8" x14ac:dyDescent="0.25">
      <c r="A646" s="1" t="s">
        <v>3</v>
      </c>
      <c r="B646" s="17">
        <v>43435</v>
      </c>
      <c r="C646" s="1"/>
      <c r="D646" s="1" t="s">
        <v>29</v>
      </c>
      <c r="E646" s="1" t="s">
        <v>91</v>
      </c>
      <c r="F646" s="1"/>
      <c r="G646">
        <v>6</v>
      </c>
      <c r="H646" s="1"/>
    </row>
    <row r="647" spans="1:8" x14ac:dyDescent="0.25">
      <c r="A647" s="1" t="s">
        <v>3</v>
      </c>
      <c r="B647" s="17">
        <v>43405</v>
      </c>
      <c r="C647" s="1"/>
      <c r="D647" s="1" t="s">
        <v>44</v>
      </c>
      <c r="E647" t="s">
        <v>22</v>
      </c>
      <c r="F647" s="1"/>
      <c r="G647">
        <v>100</v>
      </c>
      <c r="H647" s="1"/>
    </row>
    <row r="648" spans="1:8" x14ac:dyDescent="0.25">
      <c r="A648" s="1" t="s">
        <v>3</v>
      </c>
      <c r="B648" s="17">
        <v>43405</v>
      </c>
      <c r="C648" s="1"/>
      <c r="D648" s="1" t="s">
        <v>43</v>
      </c>
      <c r="E648" t="s">
        <v>22</v>
      </c>
      <c r="F648" s="1"/>
      <c r="G648">
        <v>100</v>
      </c>
      <c r="H648" s="1"/>
    </row>
    <row r="649" spans="1:8" x14ac:dyDescent="0.25">
      <c r="A649" s="1" t="s">
        <v>3</v>
      </c>
      <c r="B649" s="17">
        <v>43405</v>
      </c>
      <c r="C649" s="1"/>
      <c r="D649" s="1" t="s">
        <v>42</v>
      </c>
      <c r="E649" t="s">
        <v>22</v>
      </c>
      <c r="F649" s="1"/>
      <c r="G649">
        <v>100</v>
      </c>
      <c r="H649" s="1"/>
    </row>
    <row r="650" spans="1:8" x14ac:dyDescent="0.25">
      <c r="A650" s="1" t="s">
        <v>3</v>
      </c>
      <c r="B650" s="17">
        <v>43405</v>
      </c>
      <c r="C650" s="1"/>
      <c r="D650" s="1" t="s">
        <v>41</v>
      </c>
      <c r="E650" t="s">
        <v>22</v>
      </c>
      <c r="F650" s="1"/>
      <c r="G650">
        <v>100</v>
      </c>
      <c r="H650" s="1"/>
    </row>
    <row r="651" spans="1:8" x14ac:dyDescent="0.25">
      <c r="A651" s="1" t="s">
        <v>3</v>
      </c>
      <c r="B651" s="17">
        <v>43405</v>
      </c>
      <c r="C651" s="1"/>
      <c r="D651" s="1" t="s">
        <v>40</v>
      </c>
      <c r="E651" s="1" t="s">
        <v>25</v>
      </c>
      <c r="F651" s="1"/>
      <c r="G651">
        <v>99.98</v>
      </c>
      <c r="H651" s="1"/>
    </row>
    <row r="652" spans="1:8" x14ac:dyDescent="0.25">
      <c r="A652" s="1" t="s">
        <v>3</v>
      </c>
      <c r="B652" s="17">
        <v>43405</v>
      </c>
      <c r="C652" s="1"/>
      <c r="D652" s="1" t="s">
        <v>39</v>
      </c>
      <c r="E652" s="1" t="s">
        <v>25</v>
      </c>
      <c r="F652" s="1"/>
      <c r="G652">
        <v>170</v>
      </c>
      <c r="H652" s="1"/>
    </row>
    <row r="653" spans="1:8" x14ac:dyDescent="0.25">
      <c r="A653" s="1" t="s">
        <v>3</v>
      </c>
      <c r="B653" s="17">
        <v>43405</v>
      </c>
      <c r="C653" s="1"/>
      <c r="D653" s="1" t="s">
        <v>38</v>
      </c>
      <c r="E653" s="1" t="s">
        <v>90</v>
      </c>
      <c r="F653" s="1"/>
      <c r="G653">
        <v>99.5</v>
      </c>
      <c r="H653" s="1"/>
    </row>
    <row r="654" spans="1:8" x14ac:dyDescent="0.25">
      <c r="A654" s="1" t="s">
        <v>3</v>
      </c>
      <c r="B654" s="17">
        <v>43405</v>
      </c>
      <c r="C654" s="1"/>
      <c r="D654" s="1" t="s">
        <v>36</v>
      </c>
      <c r="E654" s="1" t="s">
        <v>17</v>
      </c>
      <c r="F654" s="1"/>
      <c r="G654">
        <v>72</v>
      </c>
      <c r="H654" s="1"/>
    </row>
    <row r="655" spans="1:8" x14ac:dyDescent="0.25">
      <c r="A655" s="1" t="s">
        <v>3</v>
      </c>
      <c r="B655" s="17">
        <v>43405</v>
      </c>
      <c r="C655" s="1"/>
      <c r="D655" s="1" t="s">
        <v>35</v>
      </c>
      <c r="E655" s="1" t="s">
        <v>17</v>
      </c>
      <c r="F655" s="1"/>
      <c r="G655">
        <v>0</v>
      </c>
      <c r="H655" s="1"/>
    </row>
    <row r="656" spans="1:8" x14ac:dyDescent="0.25">
      <c r="A656" s="1" t="s">
        <v>3</v>
      </c>
      <c r="B656" s="17">
        <v>43405</v>
      </c>
      <c r="C656" s="1"/>
      <c r="D656" s="1" t="s">
        <v>87</v>
      </c>
      <c r="E656" s="1" t="s">
        <v>31</v>
      </c>
      <c r="F656" s="1"/>
      <c r="G656">
        <v>100</v>
      </c>
      <c r="H656" s="1"/>
    </row>
    <row r="657" spans="1:8" x14ac:dyDescent="0.25">
      <c r="A657" s="1" t="s">
        <v>3</v>
      </c>
      <c r="B657" s="17">
        <v>43405</v>
      </c>
      <c r="C657" s="1"/>
      <c r="D657" s="1" t="s">
        <v>70</v>
      </c>
      <c r="E657" s="1" t="s">
        <v>33</v>
      </c>
      <c r="F657" s="1"/>
      <c r="G657">
        <v>100</v>
      </c>
      <c r="H657" s="1"/>
    </row>
    <row r="658" spans="1:8" x14ac:dyDescent="0.25">
      <c r="A658" s="1" t="s">
        <v>3</v>
      </c>
      <c r="B658" s="17">
        <v>43405</v>
      </c>
      <c r="C658" s="1"/>
      <c r="D658" s="1" t="s">
        <v>72</v>
      </c>
      <c r="E658" s="1" t="s">
        <v>31</v>
      </c>
      <c r="F658" s="1"/>
      <c r="G658">
        <v>97.4</v>
      </c>
      <c r="H658" s="1"/>
    </row>
    <row r="659" spans="1:8" x14ac:dyDescent="0.25">
      <c r="A659" s="1" t="s">
        <v>3</v>
      </c>
      <c r="B659" s="17">
        <v>43405</v>
      </c>
      <c r="C659" s="1"/>
      <c r="D659" s="1" t="s">
        <v>21</v>
      </c>
      <c r="E659" s="1" t="s">
        <v>91</v>
      </c>
      <c r="F659" s="1"/>
      <c r="G659">
        <v>1598</v>
      </c>
      <c r="H659" s="1"/>
    </row>
    <row r="660" spans="1:8" x14ac:dyDescent="0.25">
      <c r="A660" s="1" t="s">
        <v>3</v>
      </c>
      <c r="B660" s="17">
        <v>43405</v>
      </c>
      <c r="C660" s="1"/>
      <c r="D660" s="1" t="s">
        <v>30</v>
      </c>
      <c r="E660" s="1" t="s">
        <v>91</v>
      </c>
      <c r="F660" s="1"/>
      <c r="G660">
        <v>6</v>
      </c>
      <c r="H660" s="1"/>
    </row>
    <row r="661" spans="1:8" x14ac:dyDescent="0.25">
      <c r="A661" s="1" t="s">
        <v>3</v>
      </c>
      <c r="B661" s="17">
        <v>43405</v>
      </c>
      <c r="C661" s="1"/>
      <c r="D661" s="1" t="s">
        <v>29</v>
      </c>
      <c r="E661" s="1" t="s">
        <v>91</v>
      </c>
      <c r="F661" s="1"/>
      <c r="G661">
        <v>6</v>
      </c>
      <c r="H661" s="1"/>
    </row>
    <row r="662" spans="1:8" x14ac:dyDescent="0.25">
      <c r="A662" s="1" t="s">
        <v>3</v>
      </c>
      <c r="B662" s="17">
        <v>43374</v>
      </c>
      <c r="C662" s="1"/>
      <c r="D662" s="1" t="s">
        <v>44</v>
      </c>
      <c r="E662" t="s">
        <v>22</v>
      </c>
      <c r="F662" s="1"/>
      <c r="G662">
        <v>100</v>
      </c>
      <c r="H662" s="1"/>
    </row>
    <row r="663" spans="1:8" x14ac:dyDescent="0.25">
      <c r="A663" s="1" t="s">
        <v>3</v>
      </c>
      <c r="B663" s="17">
        <v>43374</v>
      </c>
      <c r="C663" s="1"/>
      <c r="D663" s="1" t="s">
        <v>43</v>
      </c>
      <c r="E663" t="s">
        <v>22</v>
      </c>
      <c r="F663" s="1"/>
      <c r="G663">
        <v>100</v>
      </c>
      <c r="H663" s="1"/>
    </row>
    <row r="664" spans="1:8" x14ac:dyDescent="0.25">
      <c r="A664" s="1" t="s">
        <v>3</v>
      </c>
      <c r="B664" s="17">
        <v>43374</v>
      </c>
      <c r="C664" s="1"/>
      <c r="D664" s="1" t="s">
        <v>42</v>
      </c>
      <c r="E664" t="s">
        <v>22</v>
      </c>
      <c r="F664" s="1"/>
      <c r="G664">
        <v>100</v>
      </c>
      <c r="H664" s="1"/>
    </row>
    <row r="665" spans="1:8" x14ac:dyDescent="0.25">
      <c r="A665" s="1" t="s">
        <v>3</v>
      </c>
      <c r="B665" s="17">
        <v>43374</v>
      </c>
      <c r="C665" s="1"/>
      <c r="D665" s="1" t="s">
        <v>41</v>
      </c>
      <c r="E665" t="s">
        <v>22</v>
      </c>
      <c r="F665" s="1"/>
      <c r="G665">
        <v>100</v>
      </c>
      <c r="H665" s="1"/>
    </row>
    <row r="666" spans="1:8" x14ac:dyDescent="0.25">
      <c r="A666" s="1" t="s">
        <v>3</v>
      </c>
      <c r="B666" s="17">
        <v>43374</v>
      </c>
      <c r="C666" s="1"/>
      <c r="D666" s="1" t="s">
        <v>40</v>
      </c>
      <c r="E666" s="1" t="s">
        <v>25</v>
      </c>
      <c r="F666" s="1"/>
      <c r="G666">
        <v>99.97</v>
      </c>
      <c r="H666" s="1"/>
    </row>
    <row r="667" spans="1:8" x14ac:dyDescent="0.25">
      <c r="A667" s="1" t="s">
        <v>3</v>
      </c>
      <c r="B667" s="17">
        <v>43374</v>
      </c>
      <c r="C667" s="1"/>
      <c r="D667" s="1" t="s">
        <v>39</v>
      </c>
      <c r="E667" s="1" t="s">
        <v>25</v>
      </c>
      <c r="F667" s="1"/>
      <c r="G667">
        <v>266</v>
      </c>
      <c r="H667" s="1"/>
    </row>
    <row r="668" spans="1:8" x14ac:dyDescent="0.25">
      <c r="A668" s="1" t="s">
        <v>3</v>
      </c>
      <c r="B668" s="17">
        <v>43374</v>
      </c>
      <c r="C668" s="1"/>
      <c r="D668" s="1" t="s">
        <v>38</v>
      </c>
      <c r="E668" s="1" t="s">
        <v>90</v>
      </c>
      <c r="F668" s="1"/>
      <c r="G668">
        <v>99</v>
      </c>
      <c r="H668" s="1"/>
    </row>
    <row r="669" spans="1:8" x14ac:dyDescent="0.25">
      <c r="A669" s="1" t="s">
        <v>3</v>
      </c>
      <c r="B669" s="17">
        <v>43374</v>
      </c>
      <c r="C669" s="1"/>
      <c r="D669" s="1" t="s">
        <v>36</v>
      </c>
      <c r="E669" s="1" t="s">
        <v>17</v>
      </c>
      <c r="F669" s="1"/>
      <c r="G669">
        <v>72</v>
      </c>
      <c r="H669" s="1"/>
    </row>
    <row r="670" spans="1:8" x14ac:dyDescent="0.25">
      <c r="A670" s="1" t="s">
        <v>3</v>
      </c>
      <c r="B670" s="17">
        <v>43374</v>
      </c>
      <c r="C670" s="1"/>
      <c r="D670" s="1" t="s">
        <v>35</v>
      </c>
      <c r="E670" s="1" t="s">
        <v>17</v>
      </c>
      <c r="F670" s="1"/>
      <c r="G670">
        <v>0</v>
      </c>
      <c r="H670" s="1"/>
    </row>
    <row r="671" spans="1:8" x14ac:dyDescent="0.25">
      <c r="A671" s="1" t="s">
        <v>3</v>
      </c>
      <c r="B671" s="17">
        <v>43374</v>
      </c>
      <c r="C671" s="1"/>
      <c r="D671" s="1" t="s">
        <v>87</v>
      </c>
      <c r="E671" s="1" t="s">
        <v>31</v>
      </c>
      <c r="F671" s="1"/>
      <c r="G671">
        <v>100</v>
      </c>
      <c r="H671" s="1"/>
    </row>
    <row r="672" spans="1:8" x14ac:dyDescent="0.25">
      <c r="A672" s="1" t="s">
        <v>3</v>
      </c>
      <c r="B672" s="17">
        <v>43374</v>
      </c>
      <c r="C672" s="1"/>
      <c r="D672" s="1" t="s">
        <v>70</v>
      </c>
      <c r="E672" s="1" t="s">
        <v>33</v>
      </c>
      <c r="F672" s="1"/>
      <c r="G672">
        <v>100</v>
      </c>
      <c r="H672" s="1"/>
    </row>
    <row r="673" spans="1:8" x14ac:dyDescent="0.25">
      <c r="A673" s="1" t="s">
        <v>3</v>
      </c>
      <c r="B673" s="17">
        <v>43374</v>
      </c>
      <c r="C673" s="1"/>
      <c r="D673" s="1" t="s">
        <v>72</v>
      </c>
      <c r="E673" s="1" t="s">
        <v>31</v>
      </c>
      <c r="F673" s="1"/>
      <c r="G673">
        <v>97.4</v>
      </c>
      <c r="H673" s="1"/>
    </row>
    <row r="674" spans="1:8" x14ac:dyDescent="0.25">
      <c r="A674" s="1" t="s">
        <v>3</v>
      </c>
      <c r="B674" s="17">
        <v>43374</v>
      </c>
      <c r="C674" s="1"/>
      <c r="D674" s="1" t="s">
        <v>21</v>
      </c>
      <c r="E674" s="1" t="s">
        <v>91</v>
      </c>
      <c r="F674" s="1"/>
      <c r="G674">
        <v>1598</v>
      </c>
      <c r="H674" s="1"/>
    </row>
    <row r="675" spans="1:8" x14ac:dyDescent="0.25">
      <c r="A675" s="1" t="s">
        <v>3</v>
      </c>
      <c r="B675" s="17">
        <v>43374</v>
      </c>
      <c r="C675" s="1"/>
      <c r="D675" s="1" t="s">
        <v>30</v>
      </c>
      <c r="E675" s="1" t="s">
        <v>91</v>
      </c>
      <c r="F675" s="1"/>
      <c r="G675">
        <v>6</v>
      </c>
      <c r="H675" s="1"/>
    </row>
    <row r="676" spans="1:8" x14ac:dyDescent="0.25">
      <c r="A676" s="1" t="s">
        <v>3</v>
      </c>
      <c r="B676" s="17">
        <v>43374</v>
      </c>
      <c r="C676" s="1"/>
      <c r="D676" s="1" t="s">
        <v>29</v>
      </c>
      <c r="E676" s="1" t="s">
        <v>91</v>
      </c>
      <c r="F676" s="1"/>
      <c r="G676">
        <v>6</v>
      </c>
      <c r="H676" s="1"/>
    </row>
    <row r="677" spans="1:8" x14ac:dyDescent="0.25">
      <c r="A677" s="1" t="s">
        <v>3</v>
      </c>
      <c r="B677" s="17">
        <v>43344</v>
      </c>
      <c r="C677" s="1"/>
      <c r="D677" s="1" t="s">
        <v>44</v>
      </c>
      <c r="E677" t="s">
        <v>22</v>
      </c>
      <c r="F677" s="1"/>
      <c r="G677">
        <v>100</v>
      </c>
      <c r="H677" s="1"/>
    </row>
    <row r="678" spans="1:8" x14ac:dyDescent="0.25">
      <c r="A678" s="1" t="s">
        <v>3</v>
      </c>
      <c r="B678" s="17">
        <v>43344</v>
      </c>
      <c r="C678" s="1"/>
      <c r="D678" s="1" t="s">
        <v>43</v>
      </c>
      <c r="E678" t="s">
        <v>22</v>
      </c>
      <c r="F678" s="1"/>
      <c r="G678">
        <v>100</v>
      </c>
      <c r="H678" s="1"/>
    </row>
    <row r="679" spans="1:8" x14ac:dyDescent="0.25">
      <c r="A679" s="1" t="s">
        <v>3</v>
      </c>
      <c r="B679" s="17">
        <v>43344</v>
      </c>
      <c r="C679" s="1"/>
      <c r="D679" s="1" t="s">
        <v>42</v>
      </c>
      <c r="E679" t="s">
        <v>22</v>
      </c>
      <c r="F679" s="1"/>
      <c r="G679">
        <v>100</v>
      </c>
      <c r="H679" s="1"/>
    </row>
    <row r="680" spans="1:8" x14ac:dyDescent="0.25">
      <c r="A680" s="1" t="s">
        <v>3</v>
      </c>
      <c r="B680" s="17">
        <v>43344</v>
      </c>
      <c r="C680" s="1"/>
      <c r="D680" s="1" t="s">
        <v>41</v>
      </c>
      <c r="E680" t="s">
        <v>22</v>
      </c>
      <c r="F680" s="1"/>
      <c r="G680">
        <v>100</v>
      </c>
      <c r="H680" s="1"/>
    </row>
    <row r="681" spans="1:8" x14ac:dyDescent="0.25">
      <c r="A681" s="1" t="s">
        <v>3</v>
      </c>
      <c r="B681" s="17">
        <v>43344</v>
      </c>
      <c r="C681" s="1"/>
      <c r="D681" s="1" t="s">
        <v>40</v>
      </c>
      <c r="E681" s="1" t="s">
        <v>25</v>
      </c>
      <c r="F681" s="1"/>
      <c r="G681">
        <v>99.98</v>
      </c>
      <c r="H681" s="1"/>
    </row>
    <row r="682" spans="1:8" x14ac:dyDescent="0.25">
      <c r="A682" s="1" t="s">
        <v>3</v>
      </c>
      <c r="B682" s="17">
        <v>43344</v>
      </c>
      <c r="C682" s="1"/>
      <c r="D682" s="1" t="s">
        <v>39</v>
      </c>
      <c r="E682" s="1" t="s">
        <v>25</v>
      </c>
      <c r="F682" s="1"/>
      <c r="G682">
        <v>195</v>
      </c>
      <c r="H682" s="1"/>
    </row>
    <row r="683" spans="1:8" x14ac:dyDescent="0.25">
      <c r="A683" s="1" t="s">
        <v>3</v>
      </c>
      <c r="B683" s="17">
        <v>43344</v>
      </c>
      <c r="C683" s="1"/>
      <c r="D683" s="1" t="s">
        <v>38</v>
      </c>
      <c r="E683" s="1" t="s">
        <v>90</v>
      </c>
      <c r="F683" s="1"/>
      <c r="G683" s="18">
        <v>96</v>
      </c>
      <c r="H683" s="19"/>
    </row>
    <row r="684" spans="1:8" x14ac:dyDescent="0.25">
      <c r="A684" s="1" t="s">
        <v>3</v>
      </c>
      <c r="B684" s="17">
        <v>43344</v>
      </c>
      <c r="C684" s="1"/>
      <c r="D684" s="1" t="s">
        <v>36</v>
      </c>
      <c r="E684" s="1" t="s">
        <v>17</v>
      </c>
      <c r="F684" s="1"/>
      <c r="G684" s="18">
        <v>77</v>
      </c>
      <c r="H684" s="19"/>
    </row>
    <row r="685" spans="1:8" x14ac:dyDescent="0.25">
      <c r="A685" s="1" t="s">
        <v>3</v>
      </c>
      <c r="B685" s="17">
        <v>43344</v>
      </c>
      <c r="C685" s="1"/>
      <c r="D685" s="1" t="s">
        <v>35</v>
      </c>
      <c r="E685" s="1" t="s">
        <v>17</v>
      </c>
      <c r="F685" s="1"/>
      <c r="G685" s="18">
        <v>15</v>
      </c>
      <c r="H685" s="19"/>
    </row>
    <row r="686" spans="1:8" x14ac:dyDescent="0.25">
      <c r="A686" s="1" t="s">
        <v>3</v>
      </c>
      <c r="B686" s="17">
        <v>43344</v>
      </c>
      <c r="C686" s="1"/>
      <c r="D686" s="1" t="s">
        <v>87</v>
      </c>
      <c r="E686" s="1" t="s">
        <v>31</v>
      </c>
      <c r="F686" s="1"/>
      <c r="G686" s="18">
        <v>100</v>
      </c>
      <c r="H686" s="19"/>
    </row>
    <row r="687" spans="1:8" x14ac:dyDescent="0.25">
      <c r="A687" s="1" t="s">
        <v>3</v>
      </c>
      <c r="B687" s="17">
        <v>43344</v>
      </c>
      <c r="C687" s="1"/>
      <c r="D687" s="1" t="s">
        <v>70</v>
      </c>
      <c r="E687" s="1" t="s">
        <v>33</v>
      </c>
      <c r="F687" s="1"/>
      <c r="G687" s="18">
        <v>100</v>
      </c>
      <c r="H687" s="19"/>
    </row>
    <row r="688" spans="1:8" x14ac:dyDescent="0.25">
      <c r="A688" s="1" t="s">
        <v>3</v>
      </c>
      <c r="B688" s="17">
        <v>43344</v>
      </c>
      <c r="C688" s="1"/>
      <c r="D688" s="1" t="s">
        <v>72</v>
      </c>
      <c r="E688" s="1" t="s">
        <v>31</v>
      </c>
      <c r="F688" s="1"/>
      <c r="G688" s="18">
        <v>97.4</v>
      </c>
      <c r="H688" s="19"/>
    </row>
    <row r="689" spans="1:8" x14ac:dyDescent="0.25">
      <c r="A689" s="1" t="s">
        <v>3</v>
      </c>
      <c r="B689" s="17">
        <v>43344</v>
      </c>
      <c r="C689" s="1"/>
      <c r="D689" s="1" t="s">
        <v>21</v>
      </c>
      <c r="E689" s="1" t="s">
        <v>91</v>
      </c>
      <c r="F689" s="1"/>
      <c r="G689" s="18">
        <v>1598</v>
      </c>
      <c r="H689" s="19"/>
    </row>
    <row r="690" spans="1:8" x14ac:dyDescent="0.25">
      <c r="A690" s="1" t="s">
        <v>3</v>
      </c>
      <c r="B690" s="17">
        <v>43344</v>
      </c>
      <c r="C690" s="1"/>
      <c r="D690" s="1" t="s">
        <v>30</v>
      </c>
      <c r="E690" s="1" t="s">
        <v>91</v>
      </c>
      <c r="F690" s="1"/>
      <c r="G690" s="18">
        <v>3</v>
      </c>
      <c r="H690" s="19"/>
    </row>
    <row r="691" spans="1:8" x14ac:dyDescent="0.25">
      <c r="A691" s="1" t="s">
        <v>3</v>
      </c>
      <c r="B691" s="17">
        <v>43344</v>
      </c>
      <c r="C691" s="1"/>
      <c r="D691" s="1" t="s">
        <v>29</v>
      </c>
      <c r="E691" s="1" t="s">
        <v>91</v>
      </c>
      <c r="F691" s="1"/>
      <c r="G691" s="18">
        <v>2</v>
      </c>
      <c r="H691" s="19"/>
    </row>
    <row r="692" spans="1:8" x14ac:dyDescent="0.25">
      <c r="A692" s="1" t="s">
        <v>3</v>
      </c>
      <c r="B692" s="17">
        <v>43313</v>
      </c>
      <c r="C692" s="1"/>
      <c r="D692" s="1" t="s">
        <v>44</v>
      </c>
      <c r="E692" t="s">
        <v>22</v>
      </c>
      <c r="F692" s="1"/>
      <c r="G692" s="18">
        <v>100</v>
      </c>
      <c r="H692" s="19"/>
    </row>
    <row r="693" spans="1:8" x14ac:dyDescent="0.25">
      <c r="A693" s="1" t="s">
        <v>3</v>
      </c>
      <c r="B693" s="17">
        <v>43313</v>
      </c>
      <c r="C693" s="1"/>
      <c r="D693" s="1" t="s">
        <v>43</v>
      </c>
      <c r="E693" t="s">
        <v>22</v>
      </c>
      <c r="F693" s="1"/>
      <c r="G693" s="18">
        <v>100</v>
      </c>
      <c r="H693" s="19"/>
    </row>
    <row r="694" spans="1:8" x14ac:dyDescent="0.25">
      <c r="A694" s="1" t="s">
        <v>3</v>
      </c>
      <c r="B694" s="17">
        <v>43313</v>
      </c>
      <c r="C694" s="1"/>
      <c r="D694" s="1" t="s">
        <v>42</v>
      </c>
      <c r="E694" t="s">
        <v>22</v>
      </c>
      <c r="F694" s="1"/>
      <c r="G694" s="18">
        <v>100</v>
      </c>
      <c r="H694" s="19"/>
    </row>
    <row r="695" spans="1:8" x14ac:dyDescent="0.25">
      <c r="A695" s="1" t="s">
        <v>3</v>
      </c>
      <c r="B695" s="17">
        <v>43313</v>
      </c>
      <c r="C695" s="1"/>
      <c r="D695" s="1" t="s">
        <v>41</v>
      </c>
      <c r="E695" t="s">
        <v>22</v>
      </c>
      <c r="F695" s="1"/>
      <c r="G695" s="18">
        <v>100</v>
      </c>
      <c r="H695" s="19"/>
    </row>
    <row r="696" spans="1:8" x14ac:dyDescent="0.25">
      <c r="A696" s="1" t="s">
        <v>3</v>
      </c>
      <c r="B696" s="17">
        <v>43313</v>
      </c>
      <c r="C696" s="1"/>
      <c r="D696" s="1" t="s">
        <v>40</v>
      </c>
      <c r="E696" s="1" t="s">
        <v>25</v>
      </c>
      <c r="F696" s="1"/>
      <c r="G696" s="18">
        <v>99.98</v>
      </c>
      <c r="H696" s="19"/>
    </row>
    <row r="697" spans="1:8" x14ac:dyDescent="0.25">
      <c r="A697" s="1" t="s">
        <v>3</v>
      </c>
      <c r="B697" s="17">
        <v>43313</v>
      </c>
      <c r="C697" s="1"/>
      <c r="D697" s="1" t="s">
        <v>39</v>
      </c>
      <c r="E697" s="1" t="s">
        <v>25</v>
      </c>
      <c r="F697" s="1"/>
      <c r="G697" s="18">
        <v>106</v>
      </c>
      <c r="H697" s="19"/>
    </row>
    <row r="698" spans="1:8" x14ac:dyDescent="0.25">
      <c r="A698" s="1" t="s">
        <v>3</v>
      </c>
      <c r="B698" s="17">
        <v>43313</v>
      </c>
      <c r="C698" s="1"/>
      <c r="D698" s="1" t="s">
        <v>38</v>
      </c>
      <c r="E698" s="1" t="s">
        <v>90</v>
      </c>
      <c r="F698" s="1"/>
      <c r="G698" s="18">
        <v>97.3</v>
      </c>
      <c r="H698" s="19"/>
    </row>
    <row r="699" spans="1:8" x14ac:dyDescent="0.25">
      <c r="A699" s="1" t="s">
        <v>3</v>
      </c>
      <c r="B699" s="17">
        <v>43313</v>
      </c>
      <c r="C699" s="1"/>
      <c r="D699" s="1" t="s">
        <v>36</v>
      </c>
      <c r="E699" s="1" t="s">
        <v>17</v>
      </c>
      <c r="F699" s="1"/>
      <c r="G699" s="18">
        <v>81</v>
      </c>
      <c r="H699" s="19"/>
    </row>
    <row r="700" spans="1:8" x14ac:dyDescent="0.25">
      <c r="A700" s="1" t="s">
        <v>3</v>
      </c>
      <c r="B700" s="17">
        <v>43313</v>
      </c>
      <c r="C700" s="1"/>
      <c r="D700" s="1" t="s">
        <v>35</v>
      </c>
      <c r="E700" s="1" t="s">
        <v>17</v>
      </c>
      <c r="F700" s="1"/>
      <c r="G700" s="18">
        <v>11</v>
      </c>
      <c r="H700" s="19"/>
    </row>
    <row r="701" spans="1:8" x14ac:dyDescent="0.25">
      <c r="A701" s="1" t="s">
        <v>3</v>
      </c>
      <c r="B701" s="17">
        <v>43313</v>
      </c>
      <c r="C701" s="1"/>
      <c r="D701" s="1" t="s">
        <v>87</v>
      </c>
      <c r="E701" s="1" t="s">
        <v>31</v>
      </c>
      <c r="F701" s="1"/>
      <c r="G701" s="18">
        <v>100</v>
      </c>
      <c r="H701" s="19"/>
    </row>
    <row r="702" spans="1:8" x14ac:dyDescent="0.25">
      <c r="A702" s="1" t="s">
        <v>3</v>
      </c>
      <c r="B702" s="17">
        <v>43313</v>
      </c>
      <c r="C702" s="1"/>
      <c r="D702" s="1" t="s">
        <v>70</v>
      </c>
      <c r="E702" s="1" t="s">
        <v>33</v>
      </c>
      <c r="F702" s="1"/>
      <c r="G702" s="18">
        <v>100</v>
      </c>
      <c r="H702" s="19"/>
    </row>
    <row r="703" spans="1:8" x14ac:dyDescent="0.25">
      <c r="A703" s="1" t="s">
        <v>3</v>
      </c>
      <c r="B703" s="17">
        <v>43313</v>
      </c>
      <c r="C703" s="1"/>
      <c r="D703" s="1" t="s">
        <v>72</v>
      </c>
      <c r="E703" s="1" t="s">
        <v>31</v>
      </c>
      <c r="F703" s="1"/>
      <c r="G703" s="18">
        <v>97.4</v>
      </c>
      <c r="H703" s="19"/>
    </row>
    <row r="704" spans="1:8" x14ac:dyDescent="0.25">
      <c r="A704" s="1" t="s">
        <v>3</v>
      </c>
      <c r="B704" s="17">
        <v>43313</v>
      </c>
      <c r="C704" s="1"/>
      <c r="D704" s="1" t="s">
        <v>21</v>
      </c>
      <c r="E704" s="1" t="s">
        <v>91</v>
      </c>
      <c r="F704" s="1"/>
      <c r="G704" s="18">
        <v>1418</v>
      </c>
      <c r="H704" s="19"/>
    </row>
    <row r="705" spans="1:8" x14ac:dyDescent="0.25">
      <c r="A705" s="1" t="s">
        <v>3</v>
      </c>
      <c r="B705" s="17">
        <v>43313</v>
      </c>
      <c r="C705" s="1"/>
      <c r="D705" s="1" t="s">
        <v>30</v>
      </c>
      <c r="E705" s="1" t="s">
        <v>91</v>
      </c>
      <c r="F705" s="1"/>
      <c r="G705" s="18">
        <v>0</v>
      </c>
      <c r="H705" s="19"/>
    </row>
    <row r="706" spans="1:8" x14ac:dyDescent="0.25">
      <c r="A706" s="1" t="s">
        <v>3</v>
      </c>
      <c r="B706" s="17">
        <v>43313</v>
      </c>
      <c r="C706" s="1"/>
      <c r="D706" s="1" t="s">
        <v>29</v>
      </c>
      <c r="E706" s="1" t="s">
        <v>91</v>
      </c>
      <c r="F706" s="1"/>
      <c r="G706" s="18">
        <v>5</v>
      </c>
      <c r="H706" s="19"/>
    </row>
    <row r="707" spans="1:8" x14ac:dyDescent="0.25">
      <c r="A707" s="1" t="s">
        <v>3</v>
      </c>
      <c r="B707" s="17">
        <v>43282</v>
      </c>
      <c r="C707" s="1"/>
      <c r="D707" s="1" t="s">
        <v>44</v>
      </c>
      <c r="E707" t="s">
        <v>22</v>
      </c>
      <c r="F707" s="1"/>
      <c r="G707" s="18">
        <v>100</v>
      </c>
      <c r="H707" s="19"/>
    </row>
    <row r="708" spans="1:8" x14ac:dyDescent="0.25">
      <c r="A708" s="1" t="s">
        <v>3</v>
      </c>
      <c r="B708" s="17">
        <v>43282</v>
      </c>
      <c r="C708" s="1"/>
      <c r="D708" s="1" t="s">
        <v>43</v>
      </c>
      <c r="E708" t="s">
        <v>22</v>
      </c>
      <c r="F708" s="1"/>
      <c r="G708" s="18">
        <v>100</v>
      </c>
      <c r="H708" s="19"/>
    </row>
    <row r="709" spans="1:8" x14ac:dyDescent="0.25">
      <c r="A709" s="1" t="s">
        <v>3</v>
      </c>
      <c r="B709" s="17">
        <v>43282</v>
      </c>
      <c r="C709" s="1"/>
      <c r="D709" s="1" t="s">
        <v>42</v>
      </c>
      <c r="E709" t="s">
        <v>22</v>
      </c>
      <c r="F709" s="1"/>
      <c r="G709" s="18">
        <v>100</v>
      </c>
      <c r="H709" s="19"/>
    </row>
    <row r="710" spans="1:8" x14ac:dyDescent="0.25">
      <c r="A710" s="1" t="s">
        <v>3</v>
      </c>
      <c r="B710" s="17">
        <v>43282</v>
      </c>
      <c r="C710" s="1"/>
      <c r="D710" s="1" t="s">
        <v>41</v>
      </c>
      <c r="E710" t="s">
        <v>22</v>
      </c>
      <c r="F710" s="1"/>
      <c r="G710" s="18">
        <v>100</v>
      </c>
      <c r="H710" s="19"/>
    </row>
    <row r="711" spans="1:8" x14ac:dyDescent="0.25">
      <c r="A711" s="1" t="s">
        <v>3</v>
      </c>
      <c r="B711" s="17">
        <v>43282</v>
      </c>
      <c r="C711" s="1"/>
      <c r="D711" s="1" t="s">
        <v>40</v>
      </c>
      <c r="E711" s="1" t="s">
        <v>25</v>
      </c>
      <c r="F711" s="1"/>
      <c r="G711" s="18">
        <v>99.97</v>
      </c>
      <c r="H711" s="19"/>
    </row>
    <row r="712" spans="1:8" x14ac:dyDescent="0.25">
      <c r="A712" s="1" t="s">
        <v>3</v>
      </c>
      <c r="B712" s="17">
        <v>43282</v>
      </c>
      <c r="C712" s="1"/>
      <c r="D712" s="1" t="s">
        <v>39</v>
      </c>
      <c r="E712" s="1" t="s">
        <v>25</v>
      </c>
      <c r="F712" s="1"/>
      <c r="G712" s="18">
        <v>37</v>
      </c>
      <c r="H712" s="19"/>
    </row>
    <row r="713" spans="1:8" x14ac:dyDescent="0.25">
      <c r="A713" s="1" t="s">
        <v>3</v>
      </c>
      <c r="B713" s="17">
        <v>43282</v>
      </c>
      <c r="C713" s="1"/>
      <c r="D713" s="1" t="s">
        <v>38</v>
      </c>
      <c r="E713" s="1" t="s">
        <v>90</v>
      </c>
      <c r="F713" s="1"/>
      <c r="G713" s="18">
        <v>98.9</v>
      </c>
      <c r="H713" s="19"/>
    </row>
    <row r="714" spans="1:8" x14ac:dyDescent="0.25">
      <c r="A714" s="1" t="s">
        <v>3</v>
      </c>
      <c r="B714" s="17">
        <v>43282</v>
      </c>
      <c r="C714" s="1"/>
      <c r="D714" s="1" t="s">
        <v>36</v>
      </c>
      <c r="E714" s="1" t="s">
        <v>17</v>
      </c>
      <c r="F714" s="1"/>
      <c r="G714" s="18">
        <v>81</v>
      </c>
      <c r="H714" s="19"/>
    </row>
    <row r="715" spans="1:8" x14ac:dyDescent="0.25">
      <c r="A715" s="1" t="s">
        <v>3</v>
      </c>
      <c r="B715" s="17">
        <v>43282</v>
      </c>
      <c r="C715" s="1"/>
      <c r="D715" s="1" t="s">
        <v>35</v>
      </c>
      <c r="E715" s="1" t="s">
        <v>17</v>
      </c>
      <c r="F715" s="1"/>
      <c r="G715" s="18">
        <v>11</v>
      </c>
      <c r="H715" s="19"/>
    </row>
    <row r="716" spans="1:8" x14ac:dyDescent="0.25">
      <c r="A716" s="1" t="s">
        <v>3</v>
      </c>
      <c r="B716" s="17">
        <v>43282</v>
      </c>
      <c r="C716" s="1"/>
      <c r="D716" s="1" t="s">
        <v>87</v>
      </c>
      <c r="E716" s="1" t="s">
        <v>31</v>
      </c>
      <c r="F716" s="1"/>
      <c r="G716" s="18">
        <v>100</v>
      </c>
      <c r="H716" s="19"/>
    </row>
    <row r="717" spans="1:8" x14ac:dyDescent="0.25">
      <c r="A717" s="1" t="s">
        <v>3</v>
      </c>
      <c r="B717" s="17">
        <v>43282</v>
      </c>
      <c r="C717" s="1"/>
      <c r="D717" s="1" t="s">
        <v>70</v>
      </c>
      <c r="E717" s="1" t="s">
        <v>33</v>
      </c>
      <c r="F717" s="1"/>
      <c r="G717" s="18">
        <v>100</v>
      </c>
      <c r="H717" s="19"/>
    </row>
    <row r="718" spans="1:8" x14ac:dyDescent="0.25">
      <c r="A718" s="1" t="s">
        <v>3</v>
      </c>
      <c r="B718" s="17">
        <v>43282</v>
      </c>
      <c r="C718" s="1"/>
      <c r="D718" s="1" t="s">
        <v>72</v>
      </c>
      <c r="E718" s="1" t="s">
        <v>31</v>
      </c>
      <c r="F718" s="1"/>
      <c r="G718" s="18">
        <v>97.4</v>
      </c>
      <c r="H718" s="19"/>
    </row>
    <row r="719" spans="1:8" x14ac:dyDescent="0.25">
      <c r="A719" s="1" t="s">
        <v>3</v>
      </c>
      <c r="B719" s="17">
        <v>43282</v>
      </c>
      <c r="C719" s="1"/>
      <c r="D719" s="1" t="s">
        <v>21</v>
      </c>
      <c r="E719" s="1" t="s">
        <v>91</v>
      </c>
      <c r="F719" s="1"/>
      <c r="G719" s="18">
        <v>1418</v>
      </c>
      <c r="H719" s="19"/>
    </row>
    <row r="720" spans="1:8" x14ac:dyDescent="0.25">
      <c r="A720" s="1" t="s">
        <v>3</v>
      </c>
      <c r="B720" s="17">
        <v>43282</v>
      </c>
      <c r="C720" s="1"/>
      <c r="D720" s="1" t="s">
        <v>30</v>
      </c>
      <c r="E720" s="1" t="s">
        <v>91</v>
      </c>
      <c r="F720" s="1"/>
      <c r="G720" s="18">
        <v>3</v>
      </c>
      <c r="H720" s="19"/>
    </row>
    <row r="721" spans="1:8" x14ac:dyDescent="0.25">
      <c r="A721" s="1" t="s">
        <v>3</v>
      </c>
      <c r="B721" s="17">
        <v>43282</v>
      </c>
      <c r="C721" s="1"/>
      <c r="D721" s="1" t="s">
        <v>29</v>
      </c>
      <c r="E721" s="1" t="s">
        <v>91</v>
      </c>
      <c r="F721" s="1"/>
      <c r="G721" s="18">
        <v>3</v>
      </c>
      <c r="H721" s="19"/>
    </row>
    <row r="722" spans="1:8" x14ac:dyDescent="0.25">
      <c r="A722" s="1" t="s">
        <v>3</v>
      </c>
      <c r="B722" s="17">
        <v>43252</v>
      </c>
      <c r="C722" s="1"/>
      <c r="D722" s="1" t="s">
        <v>44</v>
      </c>
      <c r="E722" s="1" t="s">
        <v>22</v>
      </c>
      <c r="F722" s="1"/>
      <c r="G722" s="18">
        <v>100</v>
      </c>
      <c r="H722" s="19"/>
    </row>
    <row r="723" spans="1:8" x14ac:dyDescent="0.25">
      <c r="A723" s="1" t="s">
        <v>3</v>
      </c>
      <c r="B723" s="17">
        <v>43252</v>
      </c>
      <c r="C723" s="1"/>
      <c r="D723" s="1" t="s">
        <v>43</v>
      </c>
      <c r="E723" s="1" t="s">
        <v>22</v>
      </c>
      <c r="F723" s="1"/>
      <c r="G723" s="18">
        <v>100</v>
      </c>
      <c r="H723" s="19"/>
    </row>
    <row r="724" spans="1:8" x14ac:dyDescent="0.25">
      <c r="A724" s="1" t="s">
        <v>3</v>
      </c>
      <c r="B724" s="17">
        <v>43252</v>
      </c>
      <c r="C724" s="1"/>
      <c r="D724" s="1" t="s">
        <v>42</v>
      </c>
      <c r="E724" s="1" t="s">
        <v>22</v>
      </c>
      <c r="F724" s="1"/>
      <c r="G724" s="18">
        <v>100</v>
      </c>
      <c r="H724" s="19"/>
    </row>
    <row r="725" spans="1:8" x14ac:dyDescent="0.25">
      <c r="A725" s="1" t="s">
        <v>3</v>
      </c>
      <c r="B725" s="17">
        <v>43252</v>
      </c>
      <c r="C725" s="1"/>
      <c r="D725" s="1" t="s">
        <v>41</v>
      </c>
      <c r="E725" s="1" t="s">
        <v>22</v>
      </c>
      <c r="F725" s="1"/>
      <c r="G725" s="18">
        <v>100</v>
      </c>
      <c r="H725" s="19"/>
    </row>
    <row r="726" spans="1:8" x14ac:dyDescent="0.25">
      <c r="A726" s="1" t="s">
        <v>3</v>
      </c>
      <c r="B726" s="17">
        <v>43252</v>
      </c>
      <c r="C726" s="1"/>
      <c r="D726" s="1" t="s">
        <v>40</v>
      </c>
      <c r="E726" s="1" t="s">
        <v>25</v>
      </c>
      <c r="F726" s="1"/>
      <c r="G726" s="18">
        <v>99.97</v>
      </c>
      <c r="H726" s="19"/>
    </row>
    <row r="727" spans="1:8" x14ac:dyDescent="0.25">
      <c r="A727" s="1" t="s">
        <v>3</v>
      </c>
      <c r="B727" s="17">
        <v>43252</v>
      </c>
      <c r="C727" s="1"/>
      <c r="D727" s="1" t="s">
        <v>39</v>
      </c>
      <c r="E727" s="1" t="s">
        <v>25</v>
      </c>
      <c r="F727" s="1"/>
      <c r="G727" s="18">
        <v>37</v>
      </c>
      <c r="H727" s="19"/>
    </row>
    <row r="728" spans="1:8" x14ac:dyDescent="0.25">
      <c r="A728" s="1" t="s">
        <v>3</v>
      </c>
      <c r="B728" s="17">
        <v>43252</v>
      </c>
      <c r="C728" s="1"/>
      <c r="D728" s="1" t="s">
        <v>38</v>
      </c>
      <c r="E728" s="1" t="s">
        <v>90</v>
      </c>
      <c r="F728" s="1"/>
      <c r="G728" s="18">
        <v>99.2</v>
      </c>
      <c r="H728" s="19"/>
    </row>
    <row r="729" spans="1:8" x14ac:dyDescent="0.25">
      <c r="A729" s="1" t="s">
        <v>3</v>
      </c>
      <c r="B729" s="17">
        <v>43252</v>
      </c>
      <c r="C729" s="1"/>
      <c r="D729" s="1" t="s">
        <v>36</v>
      </c>
      <c r="E729" s="1" t="s">
        <v>17</v>
      </c>
      <c r="F729" s="1"/>
      <c r="G729" s="18">
        <v>79</v>
      </c>
      <c r="H729" s="19"/>
    </row>
    <row r="730" spans="1:8" x14ac:dyDescent="0.25">
      <c r="A730" s="1" t="s">
        <v>3</v>
      </c>
      <c r="B730" s="17">
        <v>43252</v>
      </c>
      <c r="C730" s="1"/>
      <c r="D730" s="1" t="s">
        <v>35</v>
      </c>
      <c r="E730" s="1" t="s">
        <v>17</v>
      </c>
      <c r="F730" s="1"/>
      <c r="G730" s="18">
        <v>11</v>
      </c>
      <c r="H730" s="19"/>
    </row>
    <row r="731" spans="1:8" x14ac:dyDescent="0.25">
      <c r="A731" s="1" t="s">
        <v>3</v>
      </c>
      <c r="B731" s="17">
        <v>43252</v>
      </c>
      <c r="C731" s="1"/>
      <c r="D731" s="1" t="s">
        <v>87</v>
      </c>
      <c r="E731" s="1" t="s">
        <v>31</v>
      </c>
      <c r="F731" s="1"/>
      <c r="G731" s="18">
        <v>100</v>
      </c>
      <c r="H731" s="19"/>
    </row>
    <row r="732" spans="1:8" x14ac:dyDescent="0.25">
      <c r="A732" s="1" t="s">
        <v>3</v>
      </c>
      <c r="B732" s="17">
        <v>43252</v>
      </c>
      <c r="C732" s="1"/>
      <c r="D732" s="1" t="s">
        <v>70</v>
      </c>
      <c r="E732" s="1" t="s">
        <v>33</v>
      </c>
      <c r="F732" s="1"/>
      <c r="G732" s="18">
        <v>100</v>
      </c>
      <c r="H732" s="19"/>
    </row>
    <row r="733" spans="1:8" x14ac:dyDescent="0.25">
      <c r="A733" s="1" t="s">
        <v>3</v>
      </c>
      <c r="B733" s="17">
        <v>43252</v>
      </c>
      <c r="C733" s="1"/>
      <c r="D733" s="1" t="s">
        <v>72</v>
      </c>
      <c r="E733" s="1" t="s">
        <v>31</v>
      </c>
      <c r="F733" s="1"/>
      <c r="G733" s="18">
        <v>97.4</v>
      </c>
      <c r="H733" s="19"/>
    </row>
    <row r="734" spans="1:8" x14ac:dyDescent="0.25">
      <c r="A734" s="1" t="s">
        <v>3</v>
      </c>
      <c r="B734" s="17">
        <v>43252</v>
      </c>
      <c r="C734" s="1"/>
      <c r="D734" s="1" t="s">
        <v>21</v>
      </c>
      <c r="E734" s="1" t="s">
        <v>91</v>
      </c>
      <c r="F734" s="1"/>
      <c r="G734" s="18">
        <v>1040</v>
      </c>
      <c r="H734" s="19"/>
    </row>
    <row r="735" spans="1:8" x14ac:dyDescent="0.25">
      <c r="A735" s="1" t="s">
        <v>3</v>
      </c>
      <c r="B735" s="17">
        <v>43252</v>
      </c>
      <c r="C735" s="1"/>
      <c r="D735" s="1" t="s">
        <v>30</v>
      </c>
      <c r="E735" s="1" t="s">
        <v>91</v>
      </c>
      <c r="F735" s="1"/>
      <c r="G735" s="18">
        <v>2</v>
      </c>
      <c r="H735" s="19"/>
    </row>
    <row r="736" spans="1:8" x14ac:dyDescent="0.25">
      <c r="A736" s="1" t="s">
        <v>3</v>
      </c>
      <c r="B736" s="17">
        <v>43252</v>
      </c>
      <c r="C736" s="1"/>
      <c r="D736" s="1" t="s">
        <v>29</v>
      </c>
      <c r="E736" s="1" t="s">
        <v>91</v>
      </c>
      <c r="F736" s="1"/>
      <c r="G736" s="18">
        <v>2</v>
      </c>
      <c r="H736" s="19"/>
    </row>
    <row r="737" spans="1:8" x14ac:dyDescent="0.25">
      <c r="A737" s="1" t="s">
        <v>3</v>
      </c>
      <c r="B737" s="17">
        <v>43221</v>
      </c>
      <c r="C737" s="1"/>
      <c r="D737" s="1" t="s">
        <v>44</v>
      </c>
      <c r="E737" s="1" t="s">
        <v>22</v>
      </c>
      <c r="F737" s="1"/>
      <c r="G737" s="18">
        <v>100</v>
      </c>
      <c r="H737" s="19"/>
    </row>
    <row r="738" spans="1:8" x14ac:dyDescent="0.25">
      <c r="A738" s="1" t="s">
        <v>3</v>
      </c>
      <c r="B738" s="17">
        <v>43221</v>
      </c>
      <c r="C738" s="1"/>
      <c r="D738" s="1" t="s">
        <v>43</v>
      </c>
      <c r="E738" s="1" t="s">
        <v>22</v>
      </c>
      <c r="F738" s="1"/>
      <c r="G738" s="18">
        <v>100</v>
      </c>
      <c r="H738" s="19"/>
    </row>
    <row r="739" spans="1:8" x14ac:dyDescent="0.25">
      <c r="A739" s="1" t="s">
        <v>3</v>
      </c>
      <c r="B739" s="17">
        <v>43221</v>
      </c>
      <c r="C739" s="1"/>
      <c r="D739" s="1" t="s">
        <v>42</v>
      </c>
      <c r="E739" s="1" t="s">
        <v>22</v>
      </c>
      <c r="F739" s="1"/>
      <c r="G739" s="18">
        <v>100</v>
      </c>
      <c r="H739" s="19"/>
    </row>
    <row r="740" spans="1:8" x14ac:dyDescent="0.25">
      <c r="A740" s="1" t="s">
        <v>3</v>
      </c>
      <c r="B740" s="17">
        <v>43221</v>
      </c>
      <c r="C740" s="1"/>
      <c r="D740" s="1" t="s">
        <v>41</v>
      </c>
      <c r="E740" s="1" t="s">
        <v>22</v>
      </c>
      <c r="F740" s="1"/>
      <c r="G740" s="18">
        <v>100</v>
      </c>
      <c r="H740" s="19"/>
    </row>
    <row r="741" spans="1:8" x14ac:dyDescent="0.25">
      <c r="A741" s="1" t="s">
        <v>3</v>
      </c>
      <c r="B741" s="17">
        <v>43221</v>
      </c>
      <c r="C741" s="1"/>
      <c r="D741" s="1" t="s">
        <v>40</v>
      </c>
      <c r="E741" s="1" t="s">
        <v>25</v>
      </c>
      <c r="F741" s="1"/>
      <c r="G741" s="18">
        <v>99.97</v>
      </c>
      <c r="H741" s="19"/>
    </row>
    <row r="742" spans="1:8" x14ac:dyDescent="0.25">
      <c r="A742" s="1" t="s">
        <v>3</v>
      </c>
      <c r="B742" s="17">
        <v>43221</v>
      </c>
      <c r="C742" s="1"/>
      <c r="D742" s="1" t="s">
        <v>39</v>
      </c>
      <c r="E742" s="1" t="s">
        <v>25</v>
      </c>
      <c r="F742" s="1"/>
      <c r="G742" s="18">
        <v>35</v>
      </c>
      <c r="H742" s="19"/>
    </row>
    <row r="743" spans="1:8" x14ac:dyDescent="0.25">
      <c r="A743" s="1" t="s">
        <v>3</v>
      </c>
      <c r="B743" s="17">
        <v>43221</v>
      </c>
      <c r="C743" s="1"/>
      <c r="D743" s="1" t="s">
        <v>38</v>
      </c>
      <c r="E743" s="1" t="s">
        <v>90</v>
      </c>
      <c r="F743" s="1"/>
      <c r="G743" s="18">
        <v>98.95</v>
      </c>
      <c r="H743" s="19"/>
    </row>
    <row r="744" spans="1:8" x14ac:dyDescent="0.25">
      <c r="A744" s="1" t="s">
        <v>3</v>
      </c>
      <c r="B744" s="17">
        <v>43221</v>
      </c>
      <c r="C744" s="1"/>
      <c r="D744" s="1" t="s">
        <v>36</v>
      </c>
      <c r="E744" s="1" t="s">
        <v>17</v>
      </c>
      <c r="F744" s="1"/>
      <c r="G744" s="18">
        <v>71</v>
      </c>
      <c r="H744" s="19"/>
    </row>
    <row r="745" spans="1:8" x14ac:dyDescent="0.25">
      <c r="A745" s="1" t="s">
        <v>3</v>
      </c>
      <c r="B745" s="17">
        <v>43221</v>
      </c>
      <c r="C745" s="1"/>
      <c r="D745" s="1" t="s">
        <v>35</v>
      </c>
      <c r="E745" s="1" t="s">
        <v>17</v>
      </c>
      <c r="F745" s="1"/>
      <c r="G745" s="18">
        <v>7</v>
      </c>
      <c r="H745" s="19"/>
    </row>
    <row r="746" spans="1:8" x14ac:dyDescent="0.25">
      <c r="A746" s="1" t="s">
        <v>3</v>
      </c>
      <c r="B746" s="17">
        <v>43221</v>
      </c>
      <c r="C746" s="1"/>
      <c r="D746" s="1" t="s">
        <v>87</v>
      </c>
      <c r="E746" s="1" t="s">
        <v>31</v>
      </c>
      <c r="F746" s="1"/>
      <c r="G746" s="18">
        <v>100</v>
      </c>
      <c r="H746" s="19"/>
    </row>
    <row r="747" spans="1:8" x14ac:dyDescent="0.25">
      <c r="A747" s="1" t="s">
        <v>3</v>
      </c>
      <c r="B747" s="17">
        <v>43221</v>
      </c>
      <c r="C747" s="1"/>
      <c r="D747" s="1" t="s">
        <v>70</v>
      </c>
      <c r="E747" s="1" t="s">
        <v>33</v>
      </c>
      <c r="F747" s="1"/>
      <c r="G747" s="18">
        <v>100</v>
      </c>
      <c r="H747" s="19"/>
    </row>
    <row r="748" spans="1:8" x14ac:dyDescent="0.25">
      <c r="A748" s="1" t="s">
        <v>3</v>
      </c>
      <c r="B748" s="17">
        <v>43221</v>
      </c>
      <c r="C748" s="1"/>
      <c r="D748" s="1" t="s">
        <v>72</v>
      </c>
      <c r="E748" s="1" t="s">
        <v>31</v>
      </c>
      <c r="F748" s="1"/>
      <c r="G748" s="18">
        <v>97.4</v>
      </c>
      <c r="H748" s="19"/>
    </row>
    <row r="749" spans="1:8" x14ac:dyDescent="0.25">
      <c r="A749" s="1" t="s">
        <v>3</v>
      </c>
      <c r="B749" s="17">
        <v>43221</v>
      </c>
      <c r="C749" s="1"/>
      <c r="D749" s="1" t="s">
        <v>21</v>
      </c>
      <c r="E749" s="1" t="s">
        <v>91</v>
      </c>
      <c r="F749" s="1"/>
      <c r="G749" s="18">
        <v>1040</v>
      </c>
      <c r="H749" s="19"/>
    </row>
    <row r="750" spans="1:8" x14ac:dyDescent="0.25">
      <c r="A750" s="1" t="s">
        <v>3</v>
      </c>
      <c r="B750" s="17">
        <v>43221</v>
      </c>
      <c r="C750" s="1"/>
      <c r="D750" s="1" t="s">
        <v>30</v>
      </c>
      <c r="E750" s="1" t="s">
        <v>91</v>
      </c>
      <c r="F750" s="1"/>
      <c r="G750" s="18">
        <v>1</v>
      </c>
      <c r="H750" s="19"/>
    </row>
    <row r="751" spans="1:8" x14ac:dyDescent="0.25">
      <c r="A751" s="1" t="s">
        <v>3</v>
      </c>
      <c r="B751" s="17">
        <v>43221</v>
      </c>
      <c r="C751" s="1"/>
      <c r="D751" s="1" t="s">
        <v>29</v>
      </c>
      <c r="E751" s="1" t="s">
        <v>91</v>
      </c>
      <c r="F751" s="1"/>
      <c r="G751" s="18">
        <v>2</v>
      </c>
      <c r="H751" s="19"/>
    </row>
    <row r="752" spans="1:8" x14ac:dyDescent="0.25">
      <c r="A752" s="1" t="s">
        <v>3</v>
      </c>
      <c r="B752" s="17">
        <v>43191</v>
      </c>
      <c r="C752" s="1"/>
      <c r="D752" s="1" t="s">
        <v>44</v>
      </c>
      <c r="E752" s="1" t="s">
        <v>22</v>
      </c>
      <c r="F752" s="1"/>
      <c r="G752" s="18">
        <v>100</v>
      </c>
      <c r="H752" s="19"/>
    </row>
    <row r="753" spans="1:8" x14ac:dyDescent="0.25">
      <c r="A753" s="1" t="s">
        <v>3</v>
      </c>
      <c r="B753" s="17">
        <v>43191</v>
      </c>
      <c r="C753" s="1"/>
      <c r="D753" s="1" t="s">
        <v>43</v>
      </c>
      <c r="E753" s="1" t="s">
        <v>22</v>
      </c>
      <c r="F753" s="1"/>
      <c r="G753" s="18">
        <v>100</v>
      </c>
      <c r="H753" s="19"/>
    </row>
    <row r="754" spans="1:8" x14ac:dyDescent="0.25">
      <c r="A754" s="1" t="s">
        <v>3</v>
      </c>
      <c r="B754" s="17">
        <v>43191</v>
      </c>
      <c r="C754" s="1"/>
      <c r="D754" s="1" t="s">
        <v>42</v>
      </c>
      <c r="E754" s="1" t="s">
        <v>22</v>
      </c>
      <c r="F754" s="1"/>
      <c r="G754" s="18">
        <v>100</v>
      </c>
      <c r="H754" s="19"/>
    </row>
    <row r="755" spans="1:8" x14ac:dyDescent="0.25">
      <c r="A755" s="1" t="s">
        <v>3</v>
      </c>
      <c r="B755" s="17">
        <v>43191</v>
      </c>
      <c r="C755" s="1"/>
      <c r="D755" s="1" t="s">
        <v>41</v>
      </c>
      <c r="E755" s="1" t="s">
        <v>22</v>
      </c>
      <c r="F755" s="1"/>
      <c r="G755" s="18">
        <v>100</v>
      </c>
      <c r="H755" s="19"/>
    </row>
    <row r="756" spans="1:8" x14ac:dyDescent="0.25">
      <c r="A756" s="1" t="s">
        <v>3</v>
      </c>
      <c r="B756" s="17">
        <v>43191</v>
      </c>
      <c r="C756" s="1"/>
      <c r="D756" s="1" t="s">
        <v>40</v>
      </c>
      <c r="E756" s="1" t="s">
        <v>25</v>
      </c>
      <c r="F756" s="1"/>
      <c r="G756" s="18">
        <v>99.97</v>
      </c>
      <c r="H756" s="19"/>
    </row>
    <row r="757" spans="1:8" x14ac:dyDescent="0.25">
      <c r="A757" s="1" t="s">
        <v>3</v>
      </c>
      <c r="B757" s="17">
        <v>43191</v>
      </c>
      <c r="C757" s="1"/>
      <c r="D757" s="1" t="s">
        <v>39</v>
      </c>
      <c r="E757" s="1" t="s">
        <v>25</v>
      </c>
      <c r="F757" s="1"/>
      <c r="G757" s="18">
        <v>38</v>
      </c>
      <c r="H757" s="19"/>
    </row>
    <row r="758" spans="1:8" x14ac:dyDescent="0.25">
      <c r="A758" s="1" t="s">
        <v>3</v>
      </c>
      <c r="B758" s="17">
        <v>43191</v>
      </c>
      <c r="C758" s="1"/>
      <c r="D758" s="1" t="s">
        <v>38</v>
      </c>
      <c r="E758" s="1" t="s">
        <v>90</v>
      </c>
      <c r="F758" s="1"/>
      <c r="G758" s="18">
        <v>99.45</v>
      </c>
      <c r="H758" s="19"/>
    </row>
    <row r="759" spans="1:8" x14ac:dyDescent="0.25">
      <c r="A759" s="1" t="s">
        <v>3</v>
      </c>
      <c r="B759" s="17">
        <v>43191</v>
      </c>
      <c r="C759" s="1"/>
      <c r="D759" s="1" t="s">
        <v>36</v>
      </c>
      <c r="E759" s="1" t="s">
        <v>17</v>
      </c>
      <c r="F759" s="1"/>
      <c r="G759" s="18">
        <v>70</v>
      </c>
      <c r="H759" s="19"/>
    </row>
    <row r="760" spans="1:8" x14ac:dyDescent="0.25">
      <c r="A760" s="1" t="s">
        <v>3</v>
      </c>
      <c r="B760" s="17">
        <v>43191</v>
      </c>
      <c r="C760" s="1"/>
      <c r="D760" s="1" t="s">
        <v>35</v>
      </c>
      <c r="E760" s="1" t="s">
        <v>17</v>
      </c>
      <c r="F760" s="1"/>
      <c r="G760" s="18">
        <v>7</v>
      </c>
      <c r="H760" s="19"/>
    </row>
    <row r="761" spans="1:8" x14ac:dyDescent="0.25">
      <c r="A761" s="1" t="s">
        <v>3</v>
      </c>
      <c r="B761" s="17">
        <v>43191</v>
      </c>
      <c r="C761" s="1"/>
      <c r="D761" s="1" t="s">
        <v>87</v>
      </c>
      <c r="E761" s="1" t="s">
        <v>31</v>
      </c>
      <c r="F761" s="1"/>
      <c r="G761" s="18">
        <v>100</v>
      </c>
      <c r="H761" s="19"/>
    </row>
    <row r="762" spans="1:8" x14ac:dyDescent="0.25">
      <c r="A762" s="1" t="s">
        <v>3</v>
      </c>
      <c r="B762" s="17">
        <v>43191</v>
      </c>
      <c r="C762" s="1"/>
      <c r="D762" s="1" t="s">
        <v>70</v>
      </c>
      <c r="E762" s="1" t="s">
        <v>33</v>
      </c>
      <c r="F762" s="1"/>
      <c r="G762" s="18">
        <v>100</v>
      </c>
      <c r="H762" s="19"/>
    </row>
    <row r="763" spans="1:8" x14ac:dyDescent="0.25">
      <c r="A763" s="1" t="s">
        <v>3</v>
      </c>
      <c r="B763" s="17">
        <v>43191</v>
      </c>
      <c r="C763" s="1"/>
      <c r="D763" s="1" t="s">
        <v>72</v>
      </c>
      <c r="E763" s="1" t="s">
        <v>31</v>
      </c>
      <c r="F763" s="1"/>
      <c r="G763" s="18">
        <v>97.4</v>
      </c>
      <c r="H763" s="19"/>
    </row>
    <row r="764" spans="1:8" x14ac:dyDescent="0.25">
      <c r="A764" s="1" t="s">
        <v>3</v>
      </c>
      <c r="B764" s="17">
        <v>43191</v>
      </c>
      <c r="C764" s="1"/>
      <c r="D764" s="1" t="s">
        <v>21</v>
      </c>
      <c r="E764" s="1" t="s">
        <v>91</v>
      </c>
      <c r="F764" s="1"/>
      <c r="G764" s="18">
        <v>540</v>
      </c>
      <c r="H764" s="19"/>
    </row>
    <row r="765" spans="1:8" x14ac:dyDescent="0.25">
      <c r="A765" s="1" t="s">
        <v>3</v>
      </c>
      <c r="B765" s="17">
        <v>43191</v>
      </c>
      <c r="C765" s="1"/>
      <c r="D765" s="1" t="s">
        <v>30</v>
      </c>
      <c r="E765" s="1" t="s">
        <v>91</v>
      </c>
      <c r="F765" s="1"/>
      <c r="G765" s="18">
        <v>2</v>
      </c>
      <c r="H765" s="19"/>
    </row>
    <row r="766" spans="1:8" x14ac:dyDescent="0.25">
      <c r="A766" s="1" t="s">
        <v>3</v>
      </c>
      <c r="B766" s="17">
        <v>43191</v>
      </c>
      <c r="C766" s="1"/>
      <c r="D766" s="1" t="s">
        <v>29</v>
      </c>
      <c r="E766" s="1" t="s">
        <v>91</v>
      </c>
      <c r="F766" s="1"/>
      <c r="G766" s="18">
        <v>3</v>
      </c>
      <c r="H766" s="19"/>
    </row>
  </sheetData>
  <dataValidations count="1">
    <dataValidation type="decimal" allowBlank="1" showInputMessage="1" showErrorMessage="1" sqref="G1:G1048576">
      <formula1>0</formula1>
      <formula2>10000000</formula2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Teams!$A$2:$A$5</xm:f>
          </x14:formula1>
          <xm:sqref>A1:A1048576</xm:sqref>
        </x14:dataValidation>
        <x14:dataValidation type="list" allowBlank="1" showInputMessage="1" showErrorMessage="1">
          <x14:formula1>
            <xm:f>List!$D:$D</xm:f>
          </x14:formula1>
          <xm:sqref>B1:B1048576</xm:sqref>
        </x14:dataValidation>
        <x14:dataValidation type="list" allowBlank="1" showInputMessage="1" showErrorMessage="1">
          <x14:formula1>
            <xm:f>Metrics!$A:$A</xm:f>
          </x14:formula1>
          <xm:sqref>D1:D1048576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5"/>
  <sheetViews>
    <sheetView workbookViewId="0">
      <selection activeCell="D1" sqref="D1:D15"/>
    </sheetView>
  </sheetViews>
  <sheetFormatPr defaultRowHeight="15" x14ac:dyDescent="0.25"/>
  <cols>
    <col min="4" max="4" width="10.42578125" bestFit="1" customWidth="1"/>
  </cols>
  <sheetData>
    <row r="1" spans="1:4" x14ac:dyDescent="0.25">
      <c r="A1" s="6" t="s">
        <v>55</v>
      </c>
      <c r="B1">
        <v>2017</v>
      </c>
      <c r="D1" s="4">
        <v>43101</v>
      </c>
    </row>
    <row r="2" spans="1:4" x14ac:dyDescent="0.25">
      <c r="A2" t="s">
        <v>56</v>
      </c>
      <c r="B2">
        <v>2018</v>
      </c>
      <c r="D2" s="4">
        <v>43132</v>
      </c>
    </row>
    <row r="3" spans="1:4" x14ac:dyDescent="0.25">
      <c r="A3" t="s">
        <v>57</v>
      </c>
      <c r="B3">
        <v>2019</v>
      </c>
      <c r="D3" s="4">
        <v>43160</v>
      </c>
    </row>
    <row r="4" spans="1:4" x14ac:dyDescent="0.25">
      <c r="A4" t="s">
        <v>58</v>
      </c>
      <c r="B4">
        <v>2020</v>
      </c>
      <c r="D4" s="4">
        <v>43191</v>
      </c>
    </row>
    <row r="5" spans="1:4" x14ac:dyDescent="0.25">
      <c r="A5" t="s">
        <v>59</v>
      </c>
      <c r="D5" s="4">
        <v>43221</v>
      </c>
    </row>
    <row r="6" spans="1:4" x14ac:dyDescent="0.25">
      <c r="A6" t="s">
        <v>60</v>
      </c>
      <c r="D6" s="4">
        <v>43252</v>
      </c>
    </row>
    <row r="7" spans="1:4" x14ac:dyDescent="0.25">
      <c r="A7" t="s">
        <v>61</v>
      </c>
      <c r="D7" s="4">
        <v>43282</v>
      </c>
    </row>
    <row r="8" spans="1:4" x14ac:dyDescent="0.25">
      <c r="A8" t="s">
        <v>62</v>
      </c>
      <c r="D8" s="4">
        <v>43313</v>
      </c>
    </row>
    <row r="9" spans="1:4" x14ac:dyDescent="0.25">
      <c r="A9" t="s">
        <v>63</v>
      </c>
      <c r="D9" s="4">
        <v>43344</v>
      </c>
    </row>
    <row r="10" spans="1:4" x14ac:dyDescent="0.25">
      <c r="A10" t="s">
        <v>64</v>
      </c>
      <c r="D10" s="4">
        <v>43374</v>
      </c>
    </row>
    <row r="11" spans="1:4" x14ac:dyDescent="0.25">
      <c r="A11" t="s">
        <v>65</v>
      </c>
      <c r="D11" s="4">
        <v>43405</v>
      </c>
    </row>
    <row r="12" spans="1:4" x14ac:dyDescent="0.25">
      <c r="A12" t="s">
        <v>66</v>
      </c>
      <c r="D12" s="4">
        <v>43435</v>
      </c>
    </row>
    <row r="13" spans="1:4" x14ac:dyDescent="0.25">
      <c r="D13" s="4">
        <v>43466</v>
      </c>
    </row>
    <row r="14" spans="1:4" x14ac:dyDescent="0.25">
      <c r="D14" s="4">
        <v>43497</v>
      </c>
    </row>
    <row r="15" spans="1:4" x14ac:dyDescent="0.25">
      <c r="D15" s="4">
        <v>43525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Z12"/>
  <sheetViews>
    <sheetView workbookViewId="0">
      <selection activeCell="L14" sqref="L14"/>
    </sheetView>
  </sheetViews>
  <sheetFormatPr defaultRowHeight="15" x14ac:dyDescent="0.25"/>
  <cols>
    <col min="4" max="4" width="23.5703125" bestFit="1" customWidth="1"/>
  </cols>
  <sheetData>
    <row r="2" spans="2:26" x14ac:dyDescent="0.25">
      <c r="B2" s="7" t="s">
        <v>53</v>
      </c>
      <c r="D2" s="5" t="s">
        <v>1</v>
      </c>
      <c r="F2" s="7" t="s">
        <v>54</v>
      </c>
      <c r="G2" s="5" t="s">
        <v>55</v>
      </c>
      <c r="I2" s="7" t="s">
        <v>67</v>
      </c>
      <c r="J2" s="5">
        <v>2019</v>
      </c>
    </row>
    <row r="4" spans="2:26" x14ac:dyDescent="0.25">
      <c r="W4">
        <v>1</v>
      </c>
      <c r="X4" s="5" t="e">
        <f>VLOOKUP(_xlfn.CONCAT(W4,"-",$D$2),#REF!,3,0)</f>
        <v>#REF!</v>
      </c>
      <c r="Y4" s="5"/>
      <c r="Z4" s="8" t="e">
        <f>_xlfn.CONCAT(SUMIFS(#REF!,#REF!,'Ex-Dashboard'!$D$2,#REF!,DATE($J$2,MONTH(DATEVALUE($G$2&amp;"1")),1),#REF!,'Ex-Dashboard'!$X4),VLOOKUP($X4,#REF!,2,0))</f>
        <v>#REF!</v>
      </c>
    </row>
    <row r="5" spans="2:26" x14ac:dyDescent="0.25">
      <c r="W5">
        <v>2</v>
      </c>
      <c r="X5" s="5" t="e">
        <f>VLOOKUP(_xlfn.CONCAT(W5,"-",$D$2),#REF!,3,0)</f>
        <v>#REF!</v>
      </c>
      <c r="Y5" s="9"/>
      <c r="Z5" s="8" t="e">
        <f>_xlfn.CONCAT(SUMIFS(#REF!,#REF!,'Ex-Dashboard'!$D$2,#REF!,DATE($J$2,MONTH(DATEVALUE($G$2&amp;"1")),1),#REF!,'Ex-Dashboard'!$X5),VLOOKUP($X5,#REF!,2,0))</f>
        <v>#REF!</v>
      </c>
    </row>
    <row r="6" spans="2:26" x14ac:dyDescent="0.25">
      <c r="W6">
        <v>3</v>
      </c>
      <c r="X6" s="5" t="e">
        <f>VLOOKUP(_xlfn.CONCAT(W6,"-",$D$2),#REF!,3,0)</f>
        <v>#REF!</v>
      </c>
      <c r="Y6" s="5"/>
      <c r="Z6" s="8" t="e">
        <f>_xlfn.CONCAT(SUMIFS(#REF!,#REF!,'Ex-Dashboard'!$D$2,#REF!,DATE($J$2,MONTH(DATEVALUE($G$2&amp;"1")),1),#REF!,'Ex-Dashboard'!$X6),VLOOKUP($X6,#REF!,2,0))</f>
        <v>#REF!</v>
      </c>
    </row>
    <row r="7" spans="2:26" x14ac:dyDescent="0.25">
      <c r="W7">
        <v>4</v>
      </c>
      <c r="X7" s="5" t="e">
        <f>VLOOKUP(_xlfn.CONCAT(W7,"-",$D$2),#REF!,3,0)</f>
        <v>#REF!</v>
      </c>
      <c r="Y7" s="5"/>
      <c r="Z7" s="8" t="e">
        <f>_xlfn.CONCAT(SUMIFS(#REF!,#REF!,'Ex-Dashboard'!$D$2,#REF!,DATE($J$2,MONTH(DATEVALUE($G$2&amp;"1")),1),#REF!,'Ex-Dashboard'!$X7),VLOOKUP($X7,#REF!,2,0))</f>
        <v>#REF!</v>
      </c>
    </row>
    <row r="8" spans="2:26" x14ac:dyDescent="0.25">
      <c r="W8">
        <v>5</v>
      </c>
      <c r="X8" s="5" t="e">
        <f>VLOOKUP(_xlfn.CONCAT(W8,"-",$D$2),#REF!,3,0)</f>
        <v>#REF!</v>
      </c>
      <c r="Y8" s="5"/>
      <c r="Z8" s="8" t="e">
        <f>_xlfn.CONCAT(SUMIFS(#REF!,#REF!,'Ex-Dashboard'!$D$2,#REF!,DATE($J$2,MONTH(DATEVALUE($G$2&amp;"1")),1),#REF!,'Ex-Dashboard'!$X8),VLOOKUP($X8,#REF!,2,0))</f>
        <v>#REF!</v>
      </c>
    </row>
    <row r="9" spans="2:26" x14ac:dyDescent="0.25">
      <c r="W9">
        <v>6</v>
      </c>
      <c r="X9" s="5" t="e">
        <f>VLOOKUP(_xlfn.CONCAT(W9,"-",$D$2),#REF!,3,0)</f>
        <v>#REF!</v>
      </c>
      <c r="Y9" s="5"/>
      <c r="Z9" s="8" t="e">
        <f>_xlfn.CONCAT(SUMIFS(#REF!,#REF!,'Ex-Dashboard'!$D$2,#REF!,DATE($J$2,MONTH(DATEVALUE($G$2&amp;"1")),1),#REF!,'Ex-Dashboard'!$X9),VLOOKUP($X9,#REF!,2,0))</f>
        <v>#REF!</v>
      </c>
    </row>
    <row r="10" spans="2:26" x14ac:dyDescent="0.25">
      <c r="W10">
        <v>7</v>
      </c>
      <c r="X10" s="5" t="e">
        <f>VLOOKUP(_xlfn.CONCAT(W10,"-",$D$2),#REF!,3,0)</f>
        <v>#REF!</v>
      </c>
      <c r="Y10" s="5"/>
      <c r="Z10" s="5"/>
    </row>
    <row r="11" spans="2:26" x14ac:dyDescent="0.25">
      <c r="W11">
        <v>8</v>
      </c>
      <c r="X11" s="5" t="e">
        <f>VLOOKUP(_xlfn.CONCAT(W11,"-",$D$2),#REF!,3,0)</f>
        <v>#REF!</v>
      </c>
    </row>
    <row r="12" spans="2:26" x14ac:dyDescent="0.25">
      <c r="W12">
        <v>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361950</xdr:colOff>
                    <xdr:row>3</xdr:row>
                    <xdr:rowOff>142875</xdr:rowOff>
                  </from>
                  <to>
                    <xdr:col>6</xdr:col>
                    <xdr:colOff>19050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Teams!$A$2:$A$5</xm:f>
          </x14:formula1>
          <xm:sqref>D2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4:D14"/>
  <sheetViews>
    <sheetView showGridLines="0" workbookViewId="0">
      <selection activeCell="C17" sqref="C17"/>
    </sheetView>
  </sheetViews>
  <sheetFormatPr defaultRowHeight="15" x14ac:dyDescent="0.25"/>
  <cols>
    <col min="2" max="2" width="23.42578125" bestFit="1" customWidth="1"/>
  </cols>
  <sheetData>
    <row r="4" spans="1:4" x14ac:dyDescent="0.25">
      <c r="A4" s="11" t="s">
        <v>22</v>
      </c>
      <c r="B4" s="11" t="s">
        <v>42</v>
      </c>
      <c r="C4" s="12" t="e">
        <f ca="1">_xlfn.CONCAT(SUMIFS('Performance Metrics'!$G:$G,'Performance Metrics'!$A:$A,"KPHC Application Support",'Performance Metrics'!$B:$B,DATE('Ex-Dashboard'!$J$2,MONTH(DATEVALUE('Ex-Dashboard'!$G$2&amp;"1")),1),'Performance Metrics'!$D:$D,B4),VLOOKUP(B4,Metrics!A:B,2,0))</f>
        <v>#NAME?</v>
      </c>
      <c r="D4" s="11"/>
    </row>
    <row r="5" spans="1:4" x14ac:dyDescent="0.25">
      <c r="A5" s="11"/>
      <c r="B5" s="11" t="s">
        <v>41</v>
      </c>
      <c r="C5" s="12" t="e">
        <f ca="1">_xlfn.CONCAT(SUMIFS('Performance Metrics'!$G:$G,'Performance Metrics'!$A:$A,"KPHC Application Support",'Performance Metrics'!$B:$B,DATE('Ex-Dashboard'!$J$2,MONTH(DATEVALUE('Ex-Dashboard'!$G$2&amp;"1")),1),'Performance Metrics'!$D:$D,B5),VLOOKUP(B5,Metrics!A:B,2,0))</f>
        <v>#NAME?</v>
      </c>
      <c r="D5" s="11"/>
    </row>
    <row r="6" spans="1:4" x14ac:dyDescent="0.25">
      <c r="A6" s="11"/>
      <c r="B6" s="11" t="s">
        <v>85</v>
      </c>
      <c r="C6" s="12" t="e">
        <f ca="1">_xlfn.CONCAT(SUMIFS('Performance Metrics'!$G:$G,'Performance Metrics'!$A:$A,"KPHC Application Support",'Performance Metrics'!$B:$B,DATE('Ex-Dashboard'!$J$2,MONTH(DATEVALUE('Ex-Dashboard'!$G$2&amp;"1")),1),'Performance Metrics'!$D:$D,B6))</f>
        <v>#NAME?</v>
      </c>
      <c r="D6" s="11"/>
    </row>
    <row r="7" spans="1:4" x14ac:dyDescent="0.25">
      <c r="A7" s="11" t="s">
        <v>83</v>
      </c>
      <c r="B7" s="11" t="s">
        <v>38</v>
      </c>
      <c r="C7" s="12" t="e">
        <f ca="1">_xlfn.CONCAT(SUMIFS('Performance Metrics'!$G:$G,'Performance Metrics'!$A:$A,"KPHC Application Support",'Performance Metrics'!$B:$B,DATE('Ex-Dashboard'!$J$2,MONTH(DATEVALUE('Ex-Dashboard'!$G$2&amp;"1")),1),'Performance Metrics'!$D:$D,"WO Processing"),VLOOKUP(B7,Metrics!A:B,2,0))</f>
        <v>#NAME?</v>
      </c>
      <c r="D7" s="11"/>
    </row>
    <row r="8" spans="1:4" x14ac:dyDescent="0.25">
      <c r="A8" s="11" t="s">
        <v>82</v>
      </c>
      <c r="B8" s="11" t="s">
        <v>19</v>
      </c>
      <c r="C8" s="12" t="e">
        <f ca="1">_xlfn.CONCAT(SUMIFS('Performance Metrics'!$G:$G,'Performance Metrics'!$A:$A,"KPHC Application Support",'Performance Metrics'!$B:$B,DATE('Ex-Dashboard'!$J$2,MONTH(DATEVALUE('Ex-Dashboard'!$G$2&amp;"1")),1),'Performance Metrics'!$D:$D,B8),VLOOKUP(B8,Metrics!A:B,2,0))</f>
        <v>#NAME?</v>
      </c>
      <c r="D8" s="11"/>
    </row>
    <row r="9" spans="1:4" x14ac:dyDescent="0.25">
      <c r="A9" s="11"/>
      <c r="B9" s="11" t="s">
        <v>36</v>
      </c>
      <c r="C9" s="12" t="e">
        <f ca="1">_xlfn.CONCAT(SUMIFS('Performance Metrics'!$G:$G,'Performance Metrics'!$A:$A,"KPHC Application Support",'Performance Metrics'!$B:$B,DATE('Ex-Dashboard'!$J$2,MONTH(DATEVALUE('Ex-Dashboard'!$G$2&amp;"1")),1),'Performance Metrics'!$D:$D,B9))</f>
        <v>#NAME?</v>
      </c>
      <c r="D9" s="11"/>
    </row>
    <row r="10" spans="1:4" x14ac:dyDescent="0.25">
      <c r="A10" s="11"/>
      <c r="B10" s="11" t="s">
        <v>35</v>
      </c>
      <c r="C10" s="12" t="e">
        <f ca="1">_xlfn.CONCAT(SUMIFS('Performance Metrics'!$G:$G,'Performance Metrics'!$A:$A,"KPHC Application Support",'Performance Metrics'!$B:$B,DATE('Ex-Dashboard'!$J$2,MONTH(DATEVALUE('Ex-Dashboard'!$G$2&amp;"1")),1),'Performance Metrics'!$D:$D,B10))</f>
        <v>#NAME?</v>
      </c>
      <c r="D10" s="11"/>
    </row>
    <row r="11" spans="1:4" x14ac:dyDescent="0.25">
      <c r="A11" s="11"/>
      <c r="B11" s="11" t="s">
        <v>72</v>
      </c>
      <c r="C11" s="12" t="e">
        <f ca="1">_xlfn.CONCAT(SUMIFS('Performance Metrics'!$G:$G,'Performance Metrics'!$A:$A,"KPHC Application Support",'Performance Metrics'!$B:$B,DATE('Ex-Dashboard'!$J$2,MONTH(DATEVALUE('Ex-Dashboard'!$G$2&amp;"1")),1),'Performance Metrics'!$D:$D,B11))</f>
        <v>#NAME?</v>
      </c>
      <c r="D11" s="11"/>
    </row>
    <row r="12" spans="1:4" x14ac:dyDescent="0.25">
      <c r="A12" s="11" t="s">
        <v>73</v>
      </c>
      <c r="B12" s="11" t="s">
        <v>30</v>
      </c>
      <c r="C12" s="12" t="e">
        <f ca="1">_xlfn.CONCAT(SUMIFS('Performance Metrics'!$G:$G,'Performance Metrics'!$A:$A,"KPHC Application Support",'Performance Metrics'!$B:$B,DATE('Ex-Dashboard'!$J$2,MONTH(DATEVALUE('Ex-Dashboard'!$G$2&amp;"1")),1),'Performance Metrics'!$D:$D,B12))</f>
        <v>#NAME?</v>
      </c>
      <c r="D12" s="11"/>
    </row>
    <row r="13" spans="1:4" x14ac:dyDescent="0.25">
      <c r="A13" s="11"/>
      <c r="B13" s="11" t="s">
        <v>21</v>
      </c>
      <c r="C13" s="12" t="e">
        <f ca="1">_xlfn.CONCAT(SUMIFS('Performance Metrics'!$G:$G,'Performance Metrics'!$A:$A,"KPHC Application Support",'Performance Metrics'!$B:$B,DATE('Ex-Dashboard'!$J$2,MONTH(DATEVALUE('Ex-Dashboard'!$G$2&amp;"1")),1),'Performance Metrics'!$D:$D,B13))</f>
        <v>#NAME?</v>
      </c>
      <c r="D13" s="11"/>
    </row>
    <row r="14" spans="1:4" x14ac:dyDescent="0.25">
      <c r="A14" s="11"/>
      <c r="B14" s="11" t="s">
        <v>16</v>
      </c>
      <c r="C14" s="12" t="e">
        <f ca="1">_xlfn.CONCAT(SUMIFS('Performance Metrics'!$G:$G,'Performance Metrics'!$A:$A,"KPHC Application Support",'Performance Metrics'!$B:$B,DATE('Ex-Dashboard'!$J$2,MONTH(DATEVALUE('Ex-Dashboard'!$G$2&amp;"1")),1),'Performance Metrics'!$D:$D,B14))</f>
        <v>#NAME?</v>
      </c>
      <c r="D14" s="11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C36"/>
  <sheetViews>
    <sheetView showGridLines="0" workbookViewId="0">
      <selection activeCell="A2" sqref="A2:C25"/>
    </sheetView>
  </sheetViews>
  <sheetFormatPr defaultRowHeight="15" x14ac:dyDescent="0.25"/>
  <cols>
    <col min="2" max="2" width="20.42578125" customWidth="1"/>
  </cols>
  <sheetData>
    <row r="2" spans="1:3" x14ac:dyDescent="0.25">
      <c r="A2" s="11"/>
      <c r="B2" s="11"/>
      <c r="C2" s="11"/>
    </row>
    <row r="3" spans="1:3" x14ac:dyDescent="0.25">
      <c r="A3" s="11"/>
      <c r="B3" s="11"/>
      <c r="C3" s="11"/>
    </row>
    <row r="4" spans="1:3" x14ac:dyDescent="0.25">
      <c r="A4" s="11"/>
      <c r="B4" s="11"/>
      <c r="C4" s="11"/>
    </row>
    <row r="5" spans="1:3" x14ac:dyDescent="0.25">
      <c r="A5" s="11"/>
      <c r="B5" s="13" t="s">
        <v>28</v>
      </c>
      <c r="C5" s="12" t="e">
        <f ca="1">_xlfn.CONCAT(SUMIFS('Performance Metrics'!$G:$G,'Performance Metrics'!$A:$A,"KPHC Clarity Support",'Performance Metrics'!$B:$B,DATE('Ex-Dashboard'!$J$2,MONTH(DATEVALUE('Ex-Dashboard'!$G$2&amp;"1")),1),'Performance Metrics'!$D:$D,B5),VLOOKUP(B5,Metrics!A:B,2,0))</f>
        <v>#NAME?</v>
      </c>
    </row>
    <row r="6" spans="1:3" x14ac:dyDescent="0.25">
      <c r="A6" s="11"/>
      <c r="B6" s="13" t="s">
        <v>27</v>
      </c>
      <c r="C6" s="12" t="e">
        <f ca="1">_xlfn.CONCAT(SUMIFS('Performance Metrics'!$G:$G,'Performance Metrics'!$A:$A,"KPHC Clarity Support",'Performance Metrics'!$B:$B,DATE('Ex-Dashboard'!$J$2,MONTH(DATEVALUE('Ex-Dashboard'!$G$2&amp;"1")),1),'Performance Metrics'!$D:$D,B6),VLOOKUP(B6,Metrics!A:B,2,0))</f>
        <v>#NAME?</v>
      </c>
    </row>
    <row r="7" spans="1:3" x14ac:dyDescent="0.25">
      <c r="A7" s="11"/>
      <c r="B7" s="13" t="s">
        <v>26</v>
      </c>
      <c r="C7" s="12" t="e">
        <f ca="1">_xlfn.CONCAT(SUMIFS('Performance Metrics'!$G:$G,'Performance Metrics'!$A:$A,"KPHC Clarity Support",'Performance Metrics'!$B:$B,DATE('Ex-Dashboard'!$J$2,MONTH(DATEVALUE('Ex-Dashboard'!$G$2&amp;"1")),1),'Performance Metrics'!$D:$D,B7),VLOOKUP(B7,Metrics!A:B,2,0))</f>
        <v>#NAME?</v>
      </c>
    </row>
    <row r="8" spans="1:3" x14ac:dyDescent="0.25">
      <c r="A8" s="11"/>
      <c r="B8" s="13" t="s">
        <v>70</v>
      </c>
      <c r="C8" s="12" t="e">
        <f ca="1">_xlfn.CONCAT(SUMIFS('Performance Metrics'!$G:$G,'Performance Metrics'!$A:$A,"KPHC Clarity Support",'Performance Metrics'!$B:$B,DATE('Ex-Dashboard'!$J$2,MONTH(DATEVALUE('Ex-Dashboard'!$G$2&amp;"1")),1),'Performance Metrics'!$D:$D,B8),VLOOKUP(B8,Metrics!A:B,2,0))</f>
        <v>#NAME?</v>
      </c>
    </row>
    <row r="9" spans="1:3" x14ac:dyDescent="0.25">
      <c r="A9" s="11" t="s">
        <v>19</v>
      </c>
      <c r="B9" s="13"/>
      <c r="C9" s="11" t="e">
        <f ca="1">CONCATENATE(TEXT(C10,"00%"),"|",TEXT(C11,"00%"),"|",TEXT(C12,"00%"))</f>
        <v>#NAME?</v>
      </c>
    </row>
    <row r="10" spans="1:3" x14ac:dyDescent="0.25">
      <c r="A10" s="11"/>
      <c r="B10" s="13" t="s">
        <v>19</v>
      </c>
      <c r="C10" s="12" t="e">
        <f ca="1">_xlfn.CONCAT(SUMIFS('Performance Metrics'!$G:$G,'Performance Metrics'!$A:$A,"KPHC Clarity Support",'Performance Metrics'!$B:$B,DATE('Ex-Dashboard'!$J$2,MONTH(DATEVALUE('Ex-Dashboard'!$G$2&amp;"1")),1),'Performance Metrics'!$D:$D,B10),VLOOKUP(B10,Metrics!A:B,2,0))</f>
        <v>#NAME?</v>
      </c>
    </row>
    <row r="11" spans="1:3" x14ac:dyDescent="0.25">
      <c r="A11" s="11"/>
      <c r="B11" s="13" t="s">
        <v>19</v>
      </c>
      <c r="C11" s="12" t="e">
        <f ca="1">_xlfn.CONCAT(SUMIFS('Performance Metrics'!$G:$G,'Performance Metrics'!$A:$A,"KPHC Clarity Support",'Performance Metrics'!$B:$B,DATE('Ex-Dashboard'!$J$2,MONTH(DATEVALUE('Ex-Dashboard'!$G$2&amp;"1")),1),'Performance Metrics'!$D:$D,B11),VLOOKUP(B11,Metrics!A:B,2,0))</f>
        <v>#NAME?</v>
      </c>
    </row>
    <row r="12" spans="1:3" x14ac:dyDescent="0.25">
      <c r="A12" s="11"/>
      <c r="B12" s="13" t="s">
        <v>19</v>
      </c>
      <c r="C12" s="12" t="e">
        <f ca="1">_xlfn.CONCAT(SUMIFS('Performance Metrics'!$G:$G,'Performance Metrics'!$A:$A,"KPHC Clarity Support",'Performance Metrics'!$B:$B,DATE('Ex-Dashboard'!$J$2,MONTH(DATEVALUE('Ex-Dashboard'!$G$2&amp;"1")),1),'Performance Metrics'!$D:$D,B12),VLOOKUP(B12,Metrics!A:B,2,0))</f>
        <v>#NAME?</v>
      </c>
    </row>
    <row r="13" spans="1:3" x14ac:dyDescent="0.25">
      <c r="A13" s="11"/>
      <c r="B13" s="13" t="s">
        <v>36</v>
      </c>
      <c r="C13" s="12" t="e">
        <f ca="1">_xlfn.CONCAT(SUMIFS('Performance Metrics'!$G:$G,'Performance Metrics'!$A:$A,"KPHC Clarity Support",'Performance Metrics'!$B:$B,DATE('Ex-Dashboard'!$J$2,MONTH(DATEVALUE('Ex-Dashboard'!$G$2&amp;"1")),1),'Performance Metrics'!$D:$D,B13),VLOOKUP(B13,Metrics!A:B,2,0))</f>
        <v>#NAME?</v>
      </c>
    </row>
    <row r="14" spans="1:3" x14ac:dyDescent="0.25">
      <c r="A14" s="11"/>
      <c r="B14" s="13" t="s">
        <v>35</v>
      </c>
      <c r="C14" s="12" t="e">
        <f ca="1">_xlfn.CONCAT(SUMIFS('Performance Metrics'!$G:$G,'Performance Metrics'!$A:$A,"KPHC Clarity Support",'Performance Metrics'!$B:$B,DATE('Ex-Dashboard'!$J$2,MONTH(DATEVALUE('Ex-Dashboard'!$G$2&amp;"1")),1),'Performance Metrics'!$D:$D,B14),VLOOKUP(B14,Metrics!A:B,2,0))</f>
        <v>#NAME?</v>
      </c>
    </row>
    <row r="15" spans="1:3" x14ac:dyDescent="0.25">
      <c r="A15" s="11"/>
      <c r="B15" s="13" t="s">
        <v>72</v>
      </c>
      <c r="C15" s="12" t="e">
        <f ca="1">_xlfn.CONCAT(SUMIFS('Performance Metrics'!$G:$G,'Performance Metrics'!$A:$A,"KPHC Clarity Support",'Performance Metrics'!$B:$B,DATE('Ex-Dashboard'!$J$2,MONTH(DATEVALUE('Ex-Dashboard'!$G$2&amp;"1")),1),'Performance Metrics'!$D:$D,B15),VLOOKUP(B15,Metrics!A:B,2,0))</f>
        <v>#NAME?</v>
      </c>
    </row>
    <row r="16" spans="1:3" x14ac:dyDescent="0.25">
      <c r="A16" s="11" t="s">
        <v>22</v>
      </c>
      <c r="B16" s="13" t="s">
        <v>24</v>
      </c>
      <c r="C16" s="12" t="e">
        <f ca="1">_xlfn.CONCAT(SUMIFS('Performance Metrics'!$G:$G,'Performance Metrics'!$A:$A,"KPHC Clarity Support",'Performance Metrics'!$B:$B,DATE('Ex-Dashboard'!$J$2,MONTH(DATEVALUE('Ex-Dashboard'!$G$2&amp;"1")),1),'Performance Metrics'!$D:$D,B16))</f>
        <v>#NAME?</v>
      </c>
    </row>
    <row r="17" spans="1:3" x14ac:dyDescent="0.25">
      <c r="A17" s="11"/>
      <c r="B17" s="13" t="s">
        <v>23</v>
      </c>
      <c r="C17" s="12" t="e">
        <f ca="1">_xlfn.CONCAT(SUMIFS('Performance Metrics'!$G:$G,'Performance Metrics'!$A:$A,"KPHC Clarity Support",'Performance Metrics'!$B:$B,DATE('Ex-Dashboard'!$J$2,MONTH(DATEVALUE('Ex-Dashboard'!$G$2&amp;"1")),1),'Performance Metrics'!$D:$D,B17))</f>
        <v>#NAME?</v>
      </c>
    </row>
    <row r="18" spans="1:3" x14ac:dyDescent="0.25">
      <c r="A18" s="11" t="s">
        <v>73</v>
      </c>
      <c r="B18" s="13" t="s">
        <v>30</v>
      </c>
      <c r="C18" s="12" t="e">
        <f ca="1">_xlfn.CONCAT(SUMIFS('Performance Metrics'!$G:$G,'Performance Metrics'!$A:$A,"KPHC Clarity Support",'Performance Metrics'!$B:$B,DATE('Ex-Dashboard'!$J$2,MONTH(DATEVALUE('Ex-Dashboard'!$G$2&amp;"1")),1),'Performance Metrics'!$D:$D,B18),)</f>
        <v>#NAME?</v>
      </c>
    </row>
    <row r="19" spans="1:3" x14ac:dyDescent="0.25">
      <c r="A19" s="11"/>
      <c r="B19" s="13" t="s">
        <v>21</v>
      </c>
      <c r="C19" s="12" t="e">
        <f ca="1">_xlfn.CONCAT(SUMIFS('Performance Metrics'!$G:$G,'Performance Metrics'!$A:$A,"KPHC Clarity Support",'Performance Metrics'!$B:$B,DATE('Ex-Dashboard'!$J$2,MONTH(DATEVALUE('Ex-Dashboard'!$G$2&amp;"1")),1),'Performance Metrics'!$D:$D,B19),)</f>
        <v>#NAME?</v>
      </c>
    </row>
    <row r="20" spans="1:3" x14ac:dyDescent="0.25">
      <c r="A20" s="11"/>
      <c r="B20" s="13" t="s">
        <v>74</v>
      </c>
      <c r="C20" s="12" t="e">
        <f ca="1">_xlfn.CONCAT(SUMIFS('Performance Metrics'!$G:$G,'Performance Metrics'!$A:$A,"KPHC Clarity Support",'Performance Metrics'!$B:$B,DATE('Ex-Dashboard'!$J$2,MONTH(DATEVALUE('Ex-Dashboard'!$G$2&amp;"1")),1),'Performance Metrics'!$D:$D,B20),VLOOKUP(B20,Metrics!A:B,2,0))</f>
        <v>#NAME?</v>
      </c>
    </row>
    <row r="21" spans="1:3" x14ac:dyDescent="0.25">
      <c r="A21" s="11"/>
      <c r="B21" s="13"/>
      <c r="C21" s="11"/>
    </row>
    <row r="22" spans="1:3" x14ac:dyDescent="0.25">
      <c r="A22" s="11"/>
      <c r="B22" s="13"/>
      <c r="C22" s="11"/>
    </row>
    <row r="23" spans="1:3" x14ac:dyDescent="0.25">
      <c r="A23" s="11"/>
      <c r="B23" s="13"/>
      <c r="C23" s="11"/>
    </row>
    <row r="24" spans="1:3" x14ac:dyDescent="0.25">
      <c r="A24" s="11"/>
      <c r="B24" s="13"/>
      <c r="C24" s="11"/>
    </row>
    <row r="25" spans="1:3" x14ac:dyDescent="0.25">
      <c r="A25" s="11"/>
      <c r="B25" s="13"/>
      <c r="C25" s="11"/>
    </row>
    <row r="26" spans="1:3" x14ac:dyDescent="0.25">
      <c r="B26" s="10"/>
    </row>
    <row r="27" spans="1:3" x14ac:dyDescent="0.25">
      <c r="B27" s="10"/>
    </row>
    <row r="28" spans="1:3" x14ac:dyDescent="0.25">
      <c r="B28" s="10"/>
    </row>
    <row r="29" spans="1:3" x14ac:dyDescent="0.25">
      <c r="B29" s="10"/>
    </row>
    <row r="30" spans="1:3" x14ac:dyDescent="0.25">
      <c r="B30" s="10"/>
    </row>
    <row r="31" spans="1:3" x14ac:dyDescent="0.25">
      <c r="B31" s="10"/>
    </row>
    <row r="32" spans="1:3" x14ac:dyDescent="0.25">
      <c r="B32" s="10"/>
    </row>
    <row r="33" spans="2:2" x14ac:dyDescent="0.25">
      <c r="B33" s="10"/>
    </row>
    <row r="34" spans="2:2" x14ac:dyDescent="0.25">
      <c r="B34" s="10"/>
    </row>
    <row r="35" spans="2:2" x14ac:dyDescent="0.25">
      <c r="B35" s="10"/>
    </row>
    <row r="36" spans="2:2" x14ac:dyDescent="0.25">
      <c r="B36" s="10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E24"/>
  <sheetViews>
    <sheetView showGridLines="0" workbookViewId="0">
      <selection activeCell="D2" sqref="D2"/>
    </sheetView>
  </sheetViews>
  <sheetFormatPr defaultRowHeight="15" x14ac:dyDescent="0.25"/>
  <cols>
    <col min="3" max="3" width="10.140625" bestFit="1" customWidth="1"/>
  </cols>
  <sheetData>
    <row r="5" spans="1:5" x14ac:dyDescent="0.25">
      <c r="A5" s="11" t="s">
        <v>75</v>
      </c>
      <c r="B5" s="11" t="s">
        <v>76</v>
      </c>
      <c r="C5" s="12">
        <v>1</v>
      </c>
      <c r="D5" s="11"/>
      <c r="E5" s="11"/>
    </row>
    <row r="6" spans="1:5" x14ac:dyDescent="0.25">
      <c r="A6" s="11"/>
      <c r="B6" s="11" t="s">
        <v>77</v>
      </c>
      <c r="C6" s="12">
        <v>1</v>
      </c>
      <c r="D6" s="11"/>
      <c r="E6" s="11"/>
    </row>
    <row r="7" spans="1:5" x14ac:dyDescent="0.25">
      <c r="A7" s="11" t="s">
        <v>78</v>
      </c>
      <c r="B7" s="11" t="s">
        <v>76</v>
      </c>
      <c r="C7" s="12">
        <v>1</v>
      </c>
      <c r="D7" s="11"/>
      <c r="E7" s="11"/>
    </row>
    <row r="8" spans="1:5" x14ac:dyDescent="0.25">
      <c r="A8" s="11"/>
      <c r="B8" s="11" t="s">
        <v>77</v>
      </c>
      <c r="C8" s="12">
        <v>1</v>
      </c>
      <c r="D8" s="11"/>
      <c r="E8" s="11"/>
    </row>
    <row r="9" spans="1:5" x14ac:dyDescent="0.25">
      <c r="A9" s="11"/>
      <c r="B9" s="11" t="s">
        <v>40</v>
      </c>
      <c r="C9" s="14">
        <v>0.99988999999999995</v>
      </c>
      <c r="D9" s="11"/>
      <c r="E9" s="11"/>
    </row>
    <row r="10" spans="1:5" x14ac:dyDescent="0.25">
      <c r="A10" s="11"/>
      <c r="B10" s="11" t="s">
        <v>39</v>
      </c>
      <c r="C10" s="15" t="str">
        <f>CONCATENATE(119," hrs")</f>
        <v>119 hrs</v>
      </c>
      <c r="D10" s="11"/>
      <c r="E10" s="11"/>
    </row>
    <row r="11" spans="1:5" x14ac:dyDescent="0.25">
      <c r="A11" s="11"/>
      <c r="B11" s="11" t="s">
        <v>38</v>
      </c>
      <c r="C11" s="12">
        <v>0.98</v>
      </c>
      <c r="D11" s="11"/>
      <c r="E11" s="11"/>
    </row>
    <row r="12" spans="1:5" x14ac:dyDescent="0.25">
      <c r="A12" s="11"/>
      <c r="B12" s="11" t="s">
        <v>36</v>
      </c>
      <c r="C12" s="12">
        <v>0.77</v>
      </c>
      <c r="D12" s="11"/>
      <c r="E12" s="11"/>
    </row>
    <row r="13" spans="1:5" x14ac:dyDescent="0.25">
      <c r="A13" s="11"/>
      <c r="B13" s="11" t="s">
        <v>35</v>
      </c>
      <c r="C13" s="14">
        <v>4.1700000000000001E-2</v>
      </c>
      <c r="D13" s="11"/>
      <c r="E13" s="11"/>
    </row>
    <row r="14" spans="1:5" x14ac:dyDescent="0.25">
      <c r="A14" s="11" t="s">
        <v>31</v>
      </c>
      <c r="B14" s="11" t="s">
        <v>34</v>
      </c>
      <c r="C14" s="12">
        <v>1</v>
      </c>
      <c r="D14" s="11"/>
      <c r="E14" s="11"/>
    </row>
    <row r="15" spans="1:5" x14ac:dyDescent="0.25">
      <c r="A15" s="11"/>
      <c r="B15" s="11" t="s">
        <v>33</v>
      </c>
      <c r="C15" s="12">
        <v>1</v>
      </c>
      <c r="D15" s="11"/>
      <c r="E15" s="11"/>
    </row>
    <row r="16" spans="1:5" x14ac:dyDescent="0.25">
      <c r="A16" s="11"/>
      <c r="B16" s="11" t="s">
        <v>32</v>
      </c>
      <c r="C16" s="16">
        <v>0.97399999999999998</v>
      </c>
      <c r="D16" s="11"/>
      <c r="E16" s="11"/>
    </row>
    <row r="17" spans="1:5" x14ac:dyDescent="0.25">
      <c r="A17" s="11" t="s">
        <v>79</v>
      </c>
      <c r="B17" s="11" t="s">
        <v>21</v>
      </c>
      <c r="C17" s="11">
        <v>1622</v>
      </c>
      <c r="D17" s="11"/>
      <c r="E17" s="11"/>
    </row>
    <row r="18" spans="1:5" x14ac:dyDescent="0.25">
      <c r="A18" s="11"/>
      <c r="B18" s="11" t="s">
        <v>80</v>
      </c>
      <c r="C18" s="11">
        <v>10</v>
      </c>
      <c r="D18" s="11"/>
      <c r="E18" s="11"/>
    </row>
    <row r="19" spans="1:5" x14ac:dyDescent="0.25">
      <c r="A19" s="11"/>
      <c r="B19" s="11" t="s">
        <v>81</v>
      </c>
      <c r="C19" s="11">
        <v>5</v>
      </c>
      <c r="D19" s="11"/>
      <c r="E19" s="11"/>
    </row>
    <row r="20" spans="1:5" x14ac:dyDescent="0.25">
      <c r="A20" s="11"/>
      <c r="B20" s="11"/>
      <c r="C20" s="11"/>
      <c r="D20" s="11"/>
      <c r="E20" s="11"/>
    </row>
    <row r="21" spans="1:5" x14ac:dyDescent="0.25">
      <c r="A21" s="11"/>
      <c r="B21" s="11"/>
      <c r="C21" s="11"/>
      <c r="D21" s="11"/>
      <c r="E21" s="11"/>
    </row>
    <row r="22" spans="1:5" x14ac:dyDescent="0.25">
      <c r="A22" s="11"/>
      <c r="B22" s="11"/>
      <c r="C22" s="11"/>
      <c r="D22" s="11"/>
      <c r="E22" s="11"/>
    </row>
    <row r="23" spans="1:5" x14ac:dyDescent="0.25">
      <c r="A23" s="11"/>
      <c r="B23" s="11"/>
      <c r="C23" s="11"/>
      <c r="D23" s="11"/>
      <c r="E23" s="11"/>
    </row>
    <row r="24" spans="1:5" x14ac:dyDescent="0.25">
      <c r="A24" s="11"/>
      <c r="B24" s="11"/>
      <c r="C24" s="11"/>
      <c r="D24" s="11"/>
      <c r="E24" s="11"/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0D33396E3C12C4086608A36030540CD" ma:contentTypeVersion="4" ma:contentTypeDescription="Create a new document." ma:contentTypeScope="" ma:versionID="11e3f48c573e550611be2cc5aeb1312a">
  <xsd:schema xmlns:xsd="http://www.w3.org/2001/XMLSchema" xmlns:xs="http://www.w3.org/2001/XMLSchema" xmlns:p="http://schemas.microsoft.com/office/2006/metadata/properties" xmlns:ns2="3db61087-7abe-49c1-b528-e170790e72e0" xmlns:ns3="fb1963c7-1f93-418b-91e6-9573fbae6313" targetNamespace="http://schemas.microsoft.com/office/2006/metadata/properties" ma:root="true" ma:fieldsID="be5cedf9d666d83552fcdb8de06704c7" ns2:_="" ns3:_="">
    <xsd:import namespace="3db61087-7abe-49c1-b528-e170790e72e0"/>
    <xsd:import namespace="fb1963c7-1f93-418b-91e6-9573fbae631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b61087-7abe-49c1-b528-e170790e72e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1963c7-1f93-418b-91e6-9573fbae63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5FCA701-E744-47D9-A7F4-9AE12AA29E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b61087-7abe-49c1-b528-e170790e72e0"/>
    <ds:schemaRef ds:uri="fb1963c7-1f93-418b-91e6-9573fbae63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516F6AC-6B12-49C8-8534-B1D750416D58}">
  <ds:schemaRefs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elements/1.1/"/>
    <ds:schemaRef ds:uri="fb1963c7-1f93-418b-91e6-9573fbae6313"/>
    <ds:schemaRef ds:uri="3db61087-7abe-49c1-b528-e170790e72e0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0EBDA19-5205-4E3B-A804-1468D7662E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Teams</vt:lpstr>
      <vt:lpstr>Sub-Teams</vt:lpstr>
      <vt:lpstr>Metrics</vt:lpstr>
      <vt:lpstr>Input</vt:lpstr>
      <vt:lpstr>Performance Metrics</vt:lpstr>
      <vt:lpstr>List</vt:lpstr>
      <vt:lpstr>Ex-Dashboard</vt:lpstr>
      <vt:lpstr>AS_Dashboard</vt:lpstr>
      <vt:lpstr>CS_Dashboard</vt:lpstr>
      <vt:lpstr>ES_Dashboard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Parameswari, C.</dc:creator>
  <cp:lastModifiedBy>User</cp:lastModifiedBy>
  <dcterms:created xsi:type="dcterms:W3CDTF">2019-01-16T08:15:35Z</dcterms:created>
  <dcterms:modified xsi:type="dcterms:W3CDTF">2019-03-29T15:04:30Z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0x01010040D33396E3C12C4086608A36030540CD</vt:lpwstr>
  </property>
</Properties>
</file>